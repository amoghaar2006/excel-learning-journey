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SORTING\"/>
    </mc:Choice>
  </mc:AlternateContent>
  <xr:revisionPtr revIDLastSave="0" documentId="13_ncr:1_{A30DC9BA-AA72-48BE-BFB6-D758B9F39BB7}" xr6:coauthVersionLast="47" xr6:coauthVersionMax="47" xr10:uidLastSave="{00000000-0000-0000-0000-000000000000}"/>
  <bookViews>
    <workbookView xWindow="-96" yWindow="0" windowWidth="14844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 s="1"/>
  <c r="F9" i="1"/>
  <c r="G9" i="1" s="1"/>
  <c r="F3" i="1"/>
  <c r="G3" i="1" s="1"/>
  <c r="F11" i="1"/>
  <c r="G11" i="1" s="1"/>
  <c r="F6" i="1"/>
  <c r="G6" i="1" s="1"/>
  <c r="F8" i="1"/>
  <c r="G8" i="1" s="1"/>
  <c r="F4" i="1"/>
  <c r="G4" i="1" s="1"/>
  <c r="F10" i="1"/>
  <c r="G10" i="1" s="1"/>
  <c r="F2" i="1"/>
  <c r="G2" i="1" s="1"/>
  <c r="F7" i="1"/>
  <c r="G7" i="1" s="1"/>
</calcChain>
</file>

<file path=xl/sharedStrings.xml><?xml version="1.0" encoding="utf-8"?>
<sst xmlns="http://schemas.openxmlformats.org/spreadsheetml/2006/main" count="37" uniqueCount="31">
  <si>
    <t xml:space="preserve">Sl no 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</si>
  <si>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</si>
  <si>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</si>
  <si>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</si>
  <si>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</si>
  <si>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</si>
  <si>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</si>
  <si>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</si>
  <si>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</si>
  <si>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</si>
  <si>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</si>
  <si>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</si>
  <si>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PHYSICS</t>
  </si>
  <si>
    <t>CHEMISTRY</t>
  </si>
  <si>
    <t>MATHEMATICS</t>
  </si>
  <si>
    <t>TOTAL</t>
  </si>
  <si>
    <t>PERCENTAGE</t>
  </si>
  <si>
    <t>NAMES</t>
  </si>
  <si>
    <t>AMOGHAA</t>
  </si>
  <si>
    <t>BHEEM</t>
  </si>
  <si>
    <t>SAHANA G</t>
  </si>
  <si>
    <t>MANASA</t>
  </si>
  <si>
    <t>AISIRI</t>
  </si>
  <si>
    <t>NAMES SORTED ACCORDING TO ALPHABET</t>
  </si>
  <si>
    <t>SORTING BY PERCENTAGE</t>
  </si>
  <si>
    <t>Sorted using Data: Sort</t>
  </si>
  <si>
    <t>Primary: Percentage ()</t>
  </si>
  <si>
    <t>Largest to Smallest)</t>
  </si>
  <si>
    <t>Secondary: Physics, Chemistry, Mathematics (tie-breakers)</t>
  </si>
  <si>
    <t>FROM A TO Z</t>
  </si>
  <si>
    <t>SORTING ORDER: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</si>
</sst>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9B230-5768-4E17-A9DA-6623478CAE7E}" name="Table1" displayName="Table1" ref="A1:G11" totalsRowShown="0" headerRowDxfId="11" dataDxfId="10">
  <autoFilter ref="A1:G11" xr:uid="{CB09B230-5768-4E17-A9DA-6623478CAE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:G11">
    <sortCondition descending="1" ref="G2:G11"/>
    <sortCondition descending="1" ref="C2:C11"/>
    <sortCondition descending="1" ref="D2:D11"/>
    <sortCondition ref="B2:B11"/>
  </sortState>
  <tableColumns count="7">
    <tableColumn id="1" xr3:uid="{2C28C95C-562A-4926-87E9-756D3E598EAD}" name="Sl no " dataDxfId="9"/>
    <tableColumn id="2" xr3:uid="{7688CD6B-97E1-46B4-9B8A-B28F27202EB7}" name="NAME" dataDxfId="8"/>
    <tableColumn id="3" xr3:uid="{DA535196-696F-4988-81DF-1EF8288D6E9A}" name="PHYSICS" dataDxfId="7"/>
    <tableColumn id="4" xr3:uid="{00794400-D7E4-4A55-B7B6-B3DF376B782F}" name="CHEMISTRY" dataDxfId="6"/>
    <tableColumn id="5" xr3:uid="{B477182F-9D20-4A3A-819B-CC5B7CF8F864}" name="MATHEMATICS" dataDxfId="5"/>
    <tableColumn id="6" xr3:uid="{EE4AC0E1-1C25-49B7-AD81-BC206C7EBBAE}" name="TOTAL" dataDxfId="4">
      <calculatedColumnFormula>Table1[[#This Row],[PHYSICS]]+Table1[[#This Row],[CHEMISTRY]]+Table1[[#This Row],[MATHEMATICS]]</calculatedColumnFormula>
    </tableColumn>
    <tableColumn id="7" xr3:uid="{2E822A1E-2324-4977-B2B7-2C31CA360C59}" name="PERCENTAGE" dataDxfId="3">
      <calculatedColumnFormula>(Table1[[#This Row],[TOTAL]]/300)*100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07C429-5B81-4B6D-A026-68B58B8EE526}" name="Table2" displayName="Table2" ref="A14:A19" totalsRowShown="0" headerRowDxfId="13" dataDxfId="12">
  <autoFilter ref="A14:A19" xr:uid="{CB07C429-5B81-4B6D-A026-68B58B8EE526}">
    <filterColumn colId="0" hiddenButton="1"/>
  </autoFilter>
  <tableColumns count="1">
    <tableColumn id="1" xr3:uid="{A349BA52-D154-4640-812D-81EBB941846A}" name="NAMES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A36BD6-5A5B-47A2-A7DD-5921ADCA17B6}" name="Table3" displayName="Table3" ref="D14:D19" totalsRowShown="0" headerRowDxfId="2" dataDxfId="1">
  <autoFilter ref="D14:D19" xr:uid="{C4A36BD6-5A5B-47A2-A7DD-5921ADCA17B6}">
    <filterColumn colId="0" hiddenButton="1"/>
  </autoFilter>
  <sortState xmlns:xlrd2="http://schemas.microsoft.com/office/spreadsheetml/2017/richdata2" ref="D15:D19">
    <sortCondition ref="D14:D19"/>
  </sortState>
  <tableColumns count="1">
    <tableColumn id="1" xr3:uid="{5BE775FC-A746-4059-9DC9-101A673AA2E0}" name="NA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G21" sqref="G21"/>
    </sheetView>
  </sheetViews>
  <sheetFormatPr defaultRowHeight="14.4" x14ac:dyDescent="0.3"/>
  <cols>
    <col min="1" max="1" width="11.5546875" customWidth="1"/>
    <col min="3" max="3" width="9.88671875" customWidth="1"/>
    <col min="4" max="4" width="12.6640625" customWidth="1"/>
    <col min="5" max="5" width="15.77734375" customWidth="1"/>
    <col min="7" max="7" width="12.33203125" customWidth="1"/>
  </cols>
  <sheetData>
    <row r="1" spans="1:11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11" x14ac:dyDescent="0.3">
      <c r="A2" s="1">
        <v>9</v>
      </c>
      <c r="B2" s="1" t="s">
        <v>10</v>
      </c>
      <c r="C2" s="1">
        <v>92</v>
      </c>
      <c r="D2" s="1">
        <v>94</v>
      </c>
      <c r="E2" s="1">
        <v>96</v>
      </c>
      <c r="F2" s="1">
        <f>Table1[[#This Row],[PHYSICS]]+Table1[[#This Row],[CHEMISTRY]]+Table1[[#This Row],[MATHEMATICS]]</f>
        <v>282</v>
      </c>
      <c r="G2" s="2">
        <f>(Table1[[#This Row],[TOTAL]]/300)*100</f>
        <v>94</v>
      </c>
    </row>
    <row r="3" spans="1:11" x14ac:dyDescent="0.3">
      <c r="A3" s="1">
        <v>3</v>
      </c>
      <c r="B3" s="1" t="s">
        <v>4</v>
      </c>
      <c r="C3" s="1">
        <v>90</v>
      </c>
      <c r="D3" s="1">
        <v>88</v>
      </c>
      <c r="E3" s="1">
        <v>95</v>
      </c>
      <c r="F3" s="1">
        <f>Table1[[#This Row],[PHYSICS]]+Table1[[#This Row],[CHEMISTRY]]+Table1[[#This Row],[MATHEMATICS]]</f>
        <v>273</v>
      </c>
      <c r="G3" s="2">
        <f>(Table1[[#This Row],[TOTAL]]/300)*100</f>
        <v>91</v>
      </c>
    </row>
    <row r="4" spans="1:11" x14ac:dyDescent="0.3">
      <c r="A4" s="1">
        <v>7</v>
      </c>
      <c r="B4" s="1" t="s">
        <v>8</v>
      </c>
      <c r="C4" s="1">
        <v>88</v>
      </c>
      <c r="D4" s="1">
        <v>91</v>
      </c>
      <c r="E4" s="1">
        <v>87</v>
      </c>
      <c r="F4" s="1">
        <f>Table1[[#This Row],[PHYSICS]]+Table1[[#This Row],[CHEMISTRY]]+Table1[[#This Row],[MATHEMATICS]]</f>
        <v>266</v>
      </c>
      <c r="G4" s="2">
        <f>(Table1[[#This Row],[TOTAL]]/300)*100</f>
        <v>88.666666666666671</v>
      </c>
      <c r="I4" t="s">
        <v>24</v>
      </c>
    </row>
    <row r="5" spans="1:11" x14ac:dyDescent="0.3">
      <c r="A5" s="1">
        <v>1</v>
      </c>
      <c r="B5" s="1" t="s">
        <v>2</v>
      </c>
      <c r="C5" s="1">
        <v>78</v>
      </c>
      <c r="D5" s="1">
        <v>85</v>
      </c>
      <c r="E5" s="1">
        <v>92</v>
      </c>
      <c r="F5" s="1">
        <f>Table1[[#This Row],[PHYSICS]]+Table1[[#This Row],[CHEMISTRY]]+Table1[[#This Row],[MATHEMATICS]]</f>
        <v>255</v>
      </c>
      <c r="G5" s="2">
        <f>(Table1[[#This Row],[TOTAL]]/300)*100</f>
        <v>85</v>
      </c>
      <c r="I5" t="s">
        <v>25</v>
      </c>
    </row>
    <row r="6" spans="1:11" x14ac:dyDescent="0.3">
      <c r="A6" s="1">
        <v>5</v>
      </c>
      <c r="B6" s="1" t="s">
        <v>6</v>
      </c>
      <c r="C6" s="1">
        <v>82</v>
      </c>
      <c r="D6" s="1">
        <v>79</v>
      </c>
      <c r="E6" s="1">
        <v>85</v>
      </c>
      <c r="F6" s="1">
        <f>Table1[[#This Row],[PHYSICS]]+Table1[[#This Row],[CHEMISTRY]]+Table1[[#This Row],[MATHEMATICS]]</f>
        <v>246</v>
      </c>
      <c r="G6" s="2">
        <f>(Table1[[#This Row],[TOTAL]]/300)*100</f>
        <v>82</v>
      </c>
      <c r="I6" t="s">
        <v>26</v>
      </c>
      <c r="K6" t="s">
        <v>27</v>
      </c>
    </row>
    <row r="7" spans="1:11" x14ac:dyDescent="0.3">
      <c r="A7" s="1">
        <v>10</v>
      </c>
      <c r="B7" s="1" t="s">
        <v>11</v>
      </c>
      <c r="C7" s="1">
        <v>70</v>
      </c>
      <c r="D7" s="1">
        <v>75</v>
      </c>
      <c r="E7" s="1">
        <v>73</v>
      </c>
      <c r="F7" s="1">
        <f>Table1[[#This Row],[PHYSICS]]+Table1[[#This Row],[CHEMISTRY]]+Table1[[#This Row],[MATHEMATICS]]</f>
        <v>218</v>
      </c>
      <c r="G7" s="2">
        <f>(Table1[[#This Row],[TOTAL]]/300)*100</f>
        <v>72.666666666666671</v>
      </c>
      <c r="I7" t="s">
        <v>28</v>
      </c>
    </row>
    <row r="8" spans="1:11" x14ac:dyDescent="0.3">
      <c r="A8" s="1">
        <v>6</v>
      </c>
      <c r="B8" s="1" t="s">
        <v>7</v>
      </c>
      <c r="C8" s="1">
        <v>74</v>
      </c>
      <c r="D8" s="1">
        <v>69</v>
      </c>
      <c r="E8" s="1">
        <v>72</v>
      </c>
      <c r="F8" s="1">
        <f>Table1[[#This Row],[PHYSICS]]+Table1[[#This Row],[CHEMISTRY]]+Table1[[#This Row],[MATHEMATICS]]</f>
        <v>215</v>
      </c>
      <c r="G8" s="2">
        <f>(Table1[[#This Row],[TOTAL]]/300)*100</f>
        <v>71.666666666666671</v>
      </c>
    </row>
    <row r="9" spans="1:11" x14ac:dyDescent="0.3">
      <c r="A9" s="1">
        <v>2</v>
      </c>
      <c r="B9" s="1" t="s">
        <v>3</v>
      </c>
      <c r="C9" s="1">
        <v>65</v>
      </c>
      <c r="D9" s="1">
        <v>70</v>
      </c>
      <c r="E9" s="1">
        <v>68</v>
      </c>
      <c r="F9" s="1">
        <f>Table1[[#This Row],[PHYSICS]]+Table1[[#This Row],[CHEMISTRY]]+Table1[[#This Row],[MATHEMATICS]]</f>
        <v>203</v>
      </c>
      <c r="G9" s="2">
        <f>(Table1[[#This Row],[TOTAL]]/300)*100</f>
        <v>67.666666666666657</v>
      </c>
    </row>
    <row r="10" spans="1:11" x14ac:dyDescent="0.3">
      <c r="A10" s="1">
        <v>8</v>
      </c>
      <c r="B10" s="1" t="s">
        <v>9</v>
      </c>
      <c r="C10" s="1">
        <v>60</v>
      </c>
      <c r="D10" s="1">
        <v>65</v>
      </c>
      <c r="E10" s="1">
        <v>63</v>
      </c>
      <c r="F10" s="1">
        <f>Table1[[#This Row],[PHYSICS]]+Table1[[#This Row],[CHEMISTRY]]+Table1[[#This Row],[MATHEMATICS]]</f>
        <v>188</v>
      </c>
      <c r="G10" s="2">
        <f>(Table1[[#This Row],[TOTAL]]/300)*100</f>
        <v>62.666666666666671</v>
      </c>
    </row>
    <row r="11" spans="1:11" x14ac:dyDescent="0.3">
      <c r="A11" s="1">
        <v>4</v>
      </c>
      <c r="B11" s="1" t="s">
        <v>5</v>
      </c>
      <c r="C11" s="1">
        <v>55</v>
      </c>
      <c r="D11" s="1">
        <v>60</v>
      </c>
      <c r="E11" s="1">
        <v>58</v>
      </c>
      <c r="F11" s="1">
        <f>Table1[[#This Row],[PHYSICS]]+Table1[[#This Row],[CHEMISTRY]]+Table1[[#This Row],[MATHEMATICS]]</f>
        <v>173</v>
      </c>
      <c r="G11" s="2">
        <f>(Table1[[#This Row],[TOTAL]]/300)*100</f>
        <v>57.666666666666664</v>
      </c>
    </row>
    <row r="13" spans="1:11" x14ac:dyDescent="0.3">
      <c r="D13" t="s">
        <v>23</v>
      </c>
    </row>
    <row r="14" spans="1:11" x14ac:dyDescent="0.3">
      <c r="A14" s="1" t="s">
        <v>17</v>
      </c>
      <c r="D14" s="1" t="s">
        <v>17</v>
      </c>
      <c r="E14" t="s">
        <v>30</v>
      </c>
      <c r="F14" t="s">
        <v>29</v>
      </c>
    </row>
    <row r="15" spans="1:11" x14ac:dyDescent="0.3">
      <c r="A15" s="1" t="s">
        <v>18</v>
      </c>
      <c r="D15" s="1" t="s">
        <v>22</v>
      </c>
    </row>
    <row r="16" spans="1:11" x14ac:dyDescent="0.3">
      <c r="A16" s="1" t="s">
        <v>19</v>
      </c>
      <c r="D16" s="1" t="s">
        <v>18</v>
      </c>
    </row>
    <row r="17" spans="1:4" x14ac:dyDescent="0.3">
      <c r="A17" s="1" t="s">
        <v>20</v>
      </c>
      <c r="D17" s="1" t="s">
        <v>19</v>
      </c>
    </row>
    <row r="18" spans="1:4" x14ac:dyDescent="0.3">
      <c r="A18" s="1" t="s">
        <v>21</v>
      </c>
      <c r="D18" s="1" t="s">
        <v>21</v>
      </c>
    </row>
    <row r="19" spans="1:4" x14ac:dyDescent="0.3">
      <c r="A19" s="1" t="s">
        <v>22</v>
      </c>
      <c r="D19" s="1" t="s">
        <v>20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2026-03-28T12:32:14Z</dcterms:modified>
</cp:coreProperties>
</file>