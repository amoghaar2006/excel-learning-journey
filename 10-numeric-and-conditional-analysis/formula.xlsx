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ROUND OFF\"/>
    </mc:Choice>
  </mc:AlternateContent>
  <xr:revisionPtr revIDLastSave="0" documentId="8_{4D0784CC-6FD7-4B88-83F6-89B25D17A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6" i="1"/>
  <c r="G57" i="1"/>
  <c r="G58" i="1"/>
  <c r="G59" i="1"/>
  <c r="G54" i="1"/>
  <c r="F55" i="1"/>
  <c r="F56" i="1"/>
  <c r="F57" i="1"/>
  <c r="F58" i="1"/>
  <c r="F59" i="1"/>
  <c r="F54" i="1"/>
  <c r="G43" i="1"/>
  <c r="G44" i="1"/>
  <c r="G45" i="1"/>
  <c r="G46" i="1"/>
  <c r="G47" i="1"/>
  <c r="G48" i="1"/>
  <c r="F43" i="1"/>
  <c r="F44" i="1"/>
  <c r="F45" i="1"/>
  <c r="F46" i="1"/>
  <c r="F47" i="1"/>
  <c r="F48" i="1"/>
  <c r="E36" i="1"/>
  <c r="E35" i="1"/>
  <c r="E34" i="1"/>
  <c r="E33" i="1"/>
  <c r="E32" i="1"/>
  <c r="E31" i="1"/>
  <c r="E27" i="1"/>
  <c r="E26" i="1"/>
  <c r="E25" i="1"/>
  <c r="E19" i="1"/>
  <c r="E18" i="1"/>
  <c r="E17" i="1"/>
  <c r="D11" i="1"/>
  <c r="D10" i="1"/>
  <c r="D6" i="1"/>
  <c r="D5" i="1"/>
</calcChain>
</file>

<file path=xl/sharedStrings.xml><?xml version="1.0" encoding="utf-8"?>
<sst xmlns="http://schemas.openxmlformats.org/spreadsheetml/2006/main" count="27" uniqueCount="18">
  <si>
    <t>AMOGHAA</t>
  </si>
  <si>
    <t xml:space="preserve">Char Function </t>
  </si>
  <si>
    <t>Length Function</t>
  </si>
  <si>
    <t>ROUNDING OFF</t>
  </si>
  <si>
    <t>USAGE OF AND &amp; OR OPERATORS</t>
  </si>
  <si>
    <t>NAME</t>
  </si>
  <si>
    <t>MATHS</t>
  </si>
  <si>
    <t>PHYSICS</t>
  </si>
  <si>
    <t>RESULT</t>
  </si>
  <si>
    <t>A</t>
  </si>
  <si>
    <t>B</t>
  </si>
  <si>
    <t>C</t>
  </si>
  <si>
    <t>D</t>
  </si>
  <si>
    <t>E</t>
  </si>
  <si>
    <t>F</t>
  </si>
  <si>
    <t>Column1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</si>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</sst>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66942-2F92-4D79-B45D-47AB270DF1E8}" name="Table1" displayName="Table1" ref="C42:G48" totalsRowShown="0" headerRowDxfId="9" dataDxfId="8">
  <autoFilter ref="C42:G48" xr:uid="{8FF66942-2F92-4D79-B45D-47AB270DF1E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0A27F53-977C-4482-B003-6F79E80B255E}" name="NAME" dataDxfId="12"/>
    <tableColumn id="2" xr3:uid="{8D308F47-0947-41C4-AE14-BADDAFF1EEEA}" name="MATHS" dataDxfId="11"/>
    <tableColumn id="3" xr3:uid="{AF868A09-7B77-4965-B4FC-21A2904E21C6}" name="PHYSICS" dataDxfId="10"/>
    <tableColumn id="4" xr3:uid="{9A18627E-02E8-4338-89A7-D9C85EEE63CF}" name="RESULT" dataDxfId="7">
      <calculatedColumnFormula>IF(AND(Table1[[#This Row],[MATHS]]&gt;40,E43&gt;40),"PASS","FAIL")</calculatedColumnFormula>
    </tableColumn>
    <tableColumn id="5" xr3:uid="{AC5F6F1D-6F71-4356-9C66-C24D9E3739A8}" name="Column1" dataDxfId="6">
      <calculatedColumnFormula>IF(OR(Table1[[#This Row],[MATHS]]&gt;40,Table1[[#This Row],[PHYSICS]]&gt;40),"PASS","FAIL")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59"/>
  <sheetViews>
    <sheetView showFormulas="1" tabSelected="1" topLeftCell="A36" workbookViewId="0">
      <selection activeCell="H50" sqref="H50"/>
    </sheetView>
  </sheetViews>
  <sheetFormatPr defaultRowHeight="14.4" x14ac:dyDescent="0.3"/>
  <cols>
    <col min="2" max="2" width="7.88671875" customWidth="1"/>
    <col min="3" max="3" width="13.6640625" customWidth="1"/>
    <col min="4" max="4" width="9.109375" customWidth="1"/>
    <col min="5" max="5" width="9.88671875" customWidth="1"/>
    <col min="6" max="6" width="9.21875" customWidth="1"/>
    <col min="7" max="7" width="12.109375" customWidth="1"/>
  </cols>
  <sheetData>
    <row r="5" spans="2:4" x14ac:dyDescent="0.3">
      <c r="C5" s="1" t="s">
        <v>1</v>
      </c>
      <c r="D5" s="1" t="str">
        <f>CHAR(65)</f>
        <v>A</v>
      </c>
    </row>
    <row r="6" spans="2:4" x14ac:dyDescent="0.3">
      <c r="C6" s="1"/>
      <c r="D6" s="1" t="str">
        <f>CHAR(64)</f>
        <v>@</v>
      </c>
    </row>
    <row r="7" spans="2:4" x14ac:dyDescent="0.3">
      <c r="C7" s="1"/>
      <c r="D7" s="1"/>
    </row>
    <row r="8" spans="2:4" x14ac:dyDescent="0.3">
      <c r="C8" s="1"/>
      <c r="D8" s="1"/>
    </row>
    <row r="9" spans="2:4" x14ac:dyDescent="0.3">
      <c r="C9" s="1"/>
      <c r="D9" s="1"/>
    </row>
    <row r="10" spans="2:4" x14ac:dyDescent="0.3">
      <c r="C10" s="1" t="s">
        <v>2</v>
      </c>
      <c r="D10" s="1">
        <f>LEN("Bengaluru")</f>
        <v>9</v>
      </c>
    </row>
    <row r="11" spans="2:4" x14ac:dyDescent="0.3">
      <c r="C11" s="1"/>
      <c r="D11" s="1">
        <f>LEN(B13)</f>
        <v>7</v>
      </c>
    </row>
    <row r="12" spans="2:4" x14ac:dyDescent="0.3">
      <c r="C12" s="1"/>
      <c r="D12" s="1"/>
    </row>
    <row r="13" spans="2:4" x14ac:dyDescent="0.3">
      <c r="B13" t="s">
        <v>0</v>
      </c>
    </row>
    <row r="16" spans="2:4" x14ac:dyDescent="0.3">
      <c r="C16" t="s">
        <v>3</v>
      </c>
    </row>
    <row r="17" spans="3:5" x14ac:dyDescent="0.3">
      <c r="C17">
        <v>9.8870000000000005</v>
      </c>
      <c r="E17">
        <f>ROUND(C17,2)</f>
        <v>9.89</v>
      </c>
    </row>
    <row r="18" spans="3:5" x14ac:dyDescent="0.3">
      <c r="C18">
        <v>9.9969999999999999</v>
      </c>
      <c r="E18">
        <f>ROUND(C18,0)</f>
        <v>10</v>
      </c>
    </row>
    <row r="19" spans="3:5" x14ac:dyDescent="0.3">
      <c r="C19">
        <v>7.11</v>
      </c>
      <c r="E19">
        <f>ROUND(C19,0)</f>
        <v>7</v>
      </c>
    </row>
    <row r="25" spans="3:5" x14ac:dyDescent="0.3">
      <c r="C25">
        <v>9519.5</v>
      </c>
      <c r="E25">
        <f>ROUND(C25,-1)</f>
        <v>9520</v>
      </c>
    </row>
    <row r="26" spans="3:5" x14ac:dyDescent="0.3">
      <c r="E26">
        <f>ROUND(C25,-2)</f>
        <v>9500</v>
      </c>
    </row>
    <row r="27" spans="3:5" x14ac:dyDescent="0.3">
      <c r="E27">
        <f>ROUND(C25,-3)</f>
        <v>10000</v>
      </c>
    </row>
    <row r="31" spans="3:5" x14ac:dyDescent="0.3">
      <c r="C31">
        <v>232</v>
      </c>
      <c r="E31">
        <f>FLOOR(C31,3)</f>
        <v>231</v>
      </c>
    </row>
    <row r="32" spans="3:5" x14ac:dyDescent="0.3">
      <c r="C32">
        <v>324</v>
      </c>
      <c r="E32">
        <f>FLOOR(C32,4)</f>
        <v>324</v>
      </c>
    </row>
    <row r="33" spans="3:7" x14ac:dyDescent="0.3">
      <c r="C33">
        <v>546</v>
      </c>
      <c r="E33">
        <f>FLOOR(C33,5)</f>
        <v>545</v>
      </c>
    </row>
    <row r="34" spans="3:7" x14ac:dyDescent="0.3">
      <c r="C34">
        <v>342</v>
      </c>
      <c r="E34">
        <f>FLOOR(C34,2)</f>
        <v>342</v>
      </c>
    </row>
    <row r="35" spans="3:7" x14ac:dyDescent="0.3">
      <c r="C35">
        <v>654</v>
      </c>
      <c r="E35">
        <f>FLOOR(C35,10)</f>
        <v>650</v>
      </c>
    </row>
    <row r="36" spans="3:7" x14ac:dyDescent="0.3">
      <c r="C36">
        <v>-7.8</v>
      </c>
      <c r="E36">
        <f>FLOOR(C36,-2)</f>
        <v>-6</v>
      </c>
    </row>
    <row r="40" spans="3:7" x14ac:dyDescent="0.3">
      <c r="C40" t="s">
        <v>4</v>
      </c>
    </row>
    <row r="42" spans="3:7" x14ac:dyDescent="0.3">
      <c r="C42" s="1" t="s">
        <v>5</v>
      </c>
      <c r="D42" s="1" t="s">
        <v>6</v>
      </c>
      <c r="E42" s="1" t="s">
        <v>7</v>
      </c>
      <c r="F42" s="1" t="s">
        <v>8</v>
      </c>
      <c r="G42" s="1" t="s">
        <v>15</v>
      </c>
    </row>
    <row r="43" spans="3:7" x14ac:dyDescent="0.3">
      <c r="C43" s="1" t="s">
        <v>9</v>
      </c>
      <c r="D43" s="1">
        <v>21</v>
      </c>
      <c r="E43" s="1">
        <v>34</v>
      </c>
      <c r="F43" s="1" t="str">
        <f>IF(AND(Table1[[#This Row],[MATHS]]&gt;40,E43&gt;40),"PASS","FAIL")</f>
        <v>FAIL</v>
      </c>
      <c r="G43" s="1" t="str">
        <f>IF(OR(Table1[[#This Row],[MATHS]]&gt;40,Table1[[#This Row],[PHYSICS]]&gt;40),"PASS","FAIL")</f>
        <v>FAIL</v>
      </c>
    </row>
    <row r="44" spans="3:7" x14ac:dyDescent="0.3">
      <c r="C44" s="1" t="s">
        <v>10</v>
      </c>
      <c r="D44" s="1">
        <v>43</v>
      </c>
      <c r="E44" s="1">
        <v>56</v>
      </c>
      <c r="F44" s="1" t="str">
        <f>IF(AND(Table1[[#This Row],[MATHS]]&gt;40,E44&gt;40),"PASS","FAIL")</f>
        <v>PASS</v>
      </c>
      <c r="G44" s="1" t="str">
        <f>IF(OR(Table1[[#This Row],[MATHS]]&gt;40,Table1[[#This Row],[PHYSICS]]&gt;40),"PASS","FAIL")</f>
        <v>PASS</v>
      </c>
    </row>
    <row r="45" spans="3:7" x14ac:dyDescent="0.3">
      <c r="C45" s="1" t="s">
        <v>11</v>
      </c>
      <c r="D45" s="1">
        <v>54</v>
      </c>
      <c r="E45" s="1">
        <v>88</v>
      </c>
      <c r="F45" s="1" t="str">
        <f>IF(AND(Table1[[#This Row],[MATHS]]&gt;40,E45&gt;40),"PASS","FAIL")</f>
        <v>PASS</v>
      </c>
      <c r="G45" s="1" t="str">
        <f>IF(OR(Table1[[#This Row],[MATHS]]&gt;40,Table1[[#This Row],[PHYSICS]]&gt;40),"PASS","FAIL")</f>
        <v>PASS</v>
      </c>
    </row>
    <row r="46" spans="3:7" x14ac:dyDescent="0.3">
      <c r="C46" s="1" t="s">
        <v>12</v>
      </c>
      <c r="D46" s="1">
        <v>65</v>
      </c>
      <c r="E46" s="1">
        <v>67</v>
      </c>
      <c r="F46" s="1" t="str">
        <f>IF(AND(Table1[[#This Row],[MATHS]]&gt;40,E46&gt;40),"PASS","FAIL")</f>
        <v>PASS</v>
      </c>
      <c r="G46" s="1" t="str">
        <f>IF(OR(Table1[[#This Row],[MATHS]]&gt;40,Table1[[#This Row],[PHYSICS]]&gt;40),"PASS","FAIL")</f>
        <v>PASS</v>
      </c>
    </row>
    <row r="47" spans="3:7" x14ac:dyDescent="0.3">
      <c r="C47" s="1" t="s">
        <v>13</v>
      </c>
      <c r="D47" s="1">
        <v>23</v>
      </c>
      <c r="E47" s="1">
        <v>53</v>
      </c>
      <c r="F47" s="1" t="str">
        <f>IF(AND(Table1[[#This Row],[MATHS]]&gt;40,E47&gt;40),"PASS","FAIL")</f>
        <v>FAIL</v>
      </c>
      <c r="G47" s="1" t="str">
        <f>IF(OR(Table1[[#This Row],[MATHS]]&gt;40,Table1[[#This Row],[PHYSICS]]&gt;40),"PASS","FAIL")</f>
        <v>PASS</v>
      </c>
    </row>
    <row r="48" spans="3:7" x14ac:dyDescent="0.3">
      <c r="C48" s="1" t="s">
        <v>14</v>
      </c>
      <c r="D48" s="1">
        <v>86</v>
      </c>
      <c r="E48" s="1">
        <v>70</v>
      </c>
      <c r="F48" s="1" t="str">
        <f>IF(AND(Table1[[#This Row],[MATHS]]&gt;40,E48&gt;40),"PASS","FAIL")</f>
        <v>PASS</v>
      </c>
      <c r="G48" s="1" t="str">
        <f>IF(OR(Table1[[#This Row],[MATHS]]&gt;40,Table1[[#This Row],[PHYSICS]]&gt;40),"PASS","FAIL")</f>
        <v>PASS</v>
      </c>
    </row>
    <row r="53" spans="3:7" x14ac:dyDescent="0.3">
      <c r="C53" s="2" t="s">
        <v>5</v>
      </c>
      <c r="D53" s="3" t="s">
        <v>6</v>
      </c>
      <c r="E53" s="3" t="s">
        <v>7</v>
      </c>
      <c r="F53" s="8" t="s">
        <v>16</v>
      </c>
      <c r="G53" s="8" t="s">
        <v>17</v>
      </c>
    </row>
    <row r="54" spans="3:7" x14ac:dyDescent="0.3">
      <c r="C54" s="4" t="s">
        <v>9</v>
      </c>
      <c r="D54" s="5">
        <v>21</v>
      </c>
      <c r="E54" s="5">
        <v>34</v>
      </c>
      <c r="F54">
        <f>D54+E54</f>
        <v>55</v>
      </c>
      <c r="G54">
        <f>(F54/200)*100</f>
        <v>27.500000000000004</v>
      </c>
    </row>
    <row r="55" spans="3:7" x14ac:dyDescent="0.3">
      <c r="C55" s="6" t="s">
        <v>10</v>
      </c>
      <c r="D55" s="7">
        <v>43</v>
      </c>
      <c r="E55" s="7">
        <v>56</v>
      </c>
      <c r="F55">
        <f t="shared" ref="F55:F59" si="0">D55+E55</f>
        <v>99</v>
      </c>
      <c r="G55">
        <f t="shared" ref="G55:G59" si="1">(F55/200)*100</f>
        <v>49.5</v>
      </c>
    </row>
    <row r="56" spans="3:7" x14ac:dyDescent="0.3">
      <c r="C56" s="4" t="s">
        <v>11</v>
      </c>
      <c r="D56" s="5">
        <v>54</v>
      </c>
      <c r="E56" s="5">
        <v>88</v>
      </c>
      <c r="F56">
        <f t="shared" si="0"/>
        <v>142</v>
      </c>
      <c r="G56">
        <f t="shared" si="1"/>
        <v>71</v>
      </c>
    </row>
    <row r="57" spans="3:7" x14ac:dyDescent="0.3">
      <c r="C57" s="6" t="s">
        <v>12</v>
      </c>
      <c r="D57" s="7">
        <v>65</v>
      </c>
      <c r="E57" s="7">
        <v>67</v>
      </c>
      <c r="F57">
        <f t="shared" si="0"/>
        <v>132</v>
      </c>
      <c r="G57">
        <f t="shared" si="1"/>
        <v>66</v>
      </c>
    </row>
    <row r="58" spans="3:7" x14ac:dyDescent="0.3">
      <c r="C58" s="4" t="s">
        <v>13</v>
      </c>
      <c r="D58" s="5">
        <v>23</v>
      </c>
      <c r="E58" s="5">
        <v>53</v>
      </c>
      <c r="F58">
        <f t="shared" si="0"/>
        <v>76</v>
      </c>
      <c r="G58">
        <f t="shared" si="1"/>
        <v>38</v>
      </c>
    </row>
    <row r="59" spans="3:7" x14ac:dyDescent="0.3">
      <c r="C59" s="6" t="s">
        <v>14</v>
      </c>
      <c r="D59" s="7">
        <v>86</v>
      </c>
      <c r="E59" s="7">
        <v>70</v>
      </c>
      <c r="F59">
        <f t="shared" si="0"/>
        <v>156</v>
      </c>
      <c r="G59">
        <f t="shared" si="1"/>
        <v>78</v>
      </c>
    </row>
  </sheetData>
  <conditionalFormatting sqref="D54:D59">
    <cfRule type="colorScale" priority="4">
      <colorScale>
        <cfvo type="num" val="&quot;&lt;40&quot;"/>
        <cfvo type="max"/>
        <color rgb="FFFF7128"/>
        <color rgb="FFFFEF9C"/>
      </colorScale>
    </cfRule>
    <cfRule type="cellIs" dxfId="4" priority="3" operator="lessThan">
      <formula>40</formula>
    </cfRule>
  </conditionalFormatting>
  <conditionalFormatting sqref="E54:E59">
    <cfRule type="cellIs" dxfId="3" priority="2" operator="lessThan">
      <formula>40</formula>
    </cfRule>
  </conditionalFormatting>
  <conditionalFormatting sqref="G54:G59">
    <cfRule type="cellIs" dxfId="0" priority="1" operator="lessThan">
      <formula>35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2026-04-02T05:40:02Z</dcterms:modified>
</cp:coreProperties>
</file>