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oghaa R\Desktop\SKILL BUILDING\GREATE LEARNING M S EXCEL COURSE\"/>
    </mc:Choice>
  </mc:AlternateContent>
  <xr:revisionPtr revIDLastSave="0" documentId="13_ncr:1_{7BD4ED7C-18C5-49F1-AAC7-40B258151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 a="1"/>
  <c r="L5" i="2" s="1"/>
  <c r="B50" i="1"/>
  <c r="B51" i="1"/>
  <c r="B52" i="1"/>
  <c r="B53" i="1"/>
  <c r="B54" i="1"/>
  <c r="D31" i="1"/>
  <c r="C31" i="1"/>
  <c r="B31" i="1"/>
  <c r="D30" i="1"/>
  <c r="C30" i="1"/>
  <c r="B30" i="1"/>
  <c r="D29" i="1"/>
  <c r="C29" i="1"/>
  <c r="B29" i="1"/>
  <c r="G5" i="1"/>
  <c r="H5" i="1" s="1"/>
  <c r="J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J15" i="1" l="1"/>
  <c r="J14" i="1"/>
  <c r="J12" i="1"/>
  <c r="J11" i="1"/>
  <c r="J10" i="1"/>
  <c r="J9" i="1"/>
  <c r="J8" i="1"/>
  <c r="J24" i="1"/>
  <c r="J21" i="1"/>
  <c r="J20" i="1"/>
  <c r="J19" i="1"/>
  <c r="J18" i="1"/>
  <c r="J17" i="1"/>
  <c r="J16" i="1"/>
  <c r="J13" i="1"/>
  <c r="I5" i="1"/>
  <c r="J7" i="1"/>
  <c r="J23" i="1"/>
  <c r="J22" i="1"/>
  <c r="J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<sst xmlns="http://schemas.openxmlformats.org/spreadsheetml/2006/main" count="71" uniqueCount="46">
  <si>
    <t>STUDENT PERFORMANCE REPORT</t>
  </si>
  <si>
    <t>Student Name</t>
  </si>
  <si>
    <t>Maths</t>
  </si>
  <si>
    <t>Science</t>
  </si>
  <si>
    <t>English</t>
  </si>
  <si>
    <t>Attendance</t>
  </si>
  <si>
    <t>Study Hours</t>
  </si>
  <si>
    <t>John Miller</t>
  </si>
  <si>
    <t>Emily Davis</t>
  </si>
  <si>
    <t>Michael Brown</t>
  </si>
  <si>
    <t>Sophia Wilson</t>
  </si>
  <si>
    <t>Daniel Taylor</t>
  </si>
  <si>
    <t>Olivia Anderson</t>
  </si>
  <si>
    <t>James Thomas</t>
  </si>
  <si>
    <t>Isabella Jackson</t>
  </si>
  <si>
    <t>William White</t>
  </si>
  <si>
    <t>Mia Harris</t>
  </si>
  <si>
    <t>Benjamin Martin</t>
  </si>
  <si>
    <t>Charlotte Thompson</t>
  </si>
  <si>
    <t>Lucas Garcia</t>
  </si>
  <si>
    <t>Amelia Martinez</t>
  </si>
  <si>
    <t>Henry Robinson</t>
  </si>
  <si>
    <t>Evelyn Clark</t>
  </si>
  <si>
    <t>Alexander Rodriguez</t>
  </si>
  <si>
    <t>Harper Lewis</t>
  </si>
  <si>
    <t>Sebastian Lee</t>
  </si>
  <si>
    <t>Abigail Walker</t>
  </si>
  <si>
    <t>Total</t>
  </si>
  <si>
    <t>Percentage</t>
  </si>
  <si>
    <t>GRADE</t>
  </si>
  <si>
    <t>PASS/FAIL</t>
  </si>
  <si>
    <t>PERFORMANCE/SUBJECT</t>
  </si>
  <si>
    <t>AVERAGE</t>
  </si>
  <si>
    <t>MAX</t>
  </si>
  <si>
    <t>MIN</t>
  </si>
  <si>
    <t>TOP 5 STUDENTS</t>
  </si>
  <si>
    <t>KEY PERFORMANCES</t>
  </si>
  <si>
    <t>TOTAL STUDENTS</t>
  </si>
  <si>
    <t>AVERAGE PERCENTAGE</t>
  </si>
  <si>
    <t>TOP PERFORMER</t>
  </si>
  <si>
    <t>LOWEST PERFORMER</t>
  </si>
  <si>
    <t>Pass %</t>
  </si>
  <si>
    <t>VALUE</t>
  </si>
  <si>
    <t>KEY PERFORMANCE INDEX</t>
  </si>
  <si>
    <t>BAR GRAPH SHOWING AVERAGES PER SUBJECT</t>
  </si>
  <si>
    <t>Top 5 Students by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</si>
</sst>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5 Students by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DATA!$F$30</c:f>
              <c:strCache>
                <c:ptCount val="1"/>
                <c:pt idx="0">
                  <c:v>John Miller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DATA!$G$29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f>DATA!$G$30</c:f>
              <c:numCache>
                <c:formatCode>0.00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7-4EBF-8EC4-1856B0FB9688}"/>
            </c:ext>
          </c:extLst>
        </c:ser>
        <c:ser>
          <c:idx val="1"/>
          <c:order val="1"/>
          <c:tx>
            <c:strRef>
              <c:f>DATA!$F$31</c:f>
              <c:strCache>
                <c:ptCount val="1"/>
                <c:pt idx="0">
                  <c:v>Emily Davis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DATA!$G$29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f>DATA!$G$31</c:f>
              <c:numCache>
                <c:formatCode>0.00</c:formatCode>
                <c:ptCount val="1"/>
                <c:pt idx="0">
                  <c:v>93.666666666666671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7-4EBF-8EC4-1856B0FB9688}"/>
            </c:ext>
          </c:extLst>
        </c:ser>
        <c:ser>
          <c:idx val="2"/>
          <c:order val="2"/>
          <c:tx>
            <c:strRef>
              <c:f>DATA!$F$32</c:f>
              <c:strCache>
                <c:ptCount val="1"/>
                <c:pt idx="0">
                  <c:v>Michael Brown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DATA!$G$29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f>DATA!$G$32</c:f>
              <c:numCache>
                <c:formatCode>0.00</c:formatCode>
                <c:ptCount val="1"/>
                <c:pt idx="0">
                  <c:v>91.666666666666657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7-4EBF-8EC4-1856B0FB9688}"/>
            </c:ext>
          </c:extLst>
        </c:ser>
        <c:ser>
          <c:idx val="3"/>
          <c:order val="3"/>
          <c:tx>
            <c:strRef>
              <c:f>DATA!$F$33</c:f>
              <c:strCache>
                <c:ptCount val="1"/>
                <c:pt idx="0">
                  <c:v>Sophia Wilson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DATA!$G$29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f>DATA!$G$33</c:f>
              <c:numCache>
                <c:formatCode>0.00</c:formatCode>
                <c:ptCount val="1"/>
                <c:pt idx="0">
                  <c:v>91.333333333333329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C7-4EBF-8EC4-1856B0FB9688}"/>
            </c:ext>
          </c:extLst>
        </c:ser>
        <c:ser>
          <c:idx val="4"/>
          <c:order val="4"/>
          <c:tx>
            <c:strRef>
              <c:f>DATA!$F$34</c:f>
              <c:strCache>
                <c:ptCount val="1"/>
                <c:pt idx="0">
                  <c:v>Daniel Taylor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DATA!$G$29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f>DATA!$G$34</c:f>
              <c:numCache>
                <c:formatCode>0.00</c:formatCode>
                <c:ptCount val="1"/>
                <c:pt idx="0">
                  <c:v>90.333333333333329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C7-4EBF-8EC4-1856B0FB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5222000"/>
        <c:axId val="905221040"/>
      </c:barChart>
      <c:catAx>
        <c:axId val="90522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221040"/>
        <c:crosses val="autoZero"/>
        <c:auto val="1"/>
        <c:lblAlgn val="ctr"/>
        <c:lblOffset val="100"/>
        <c:noMultiLvlLbl val="0"/>
      </c:catAx>
      <c:valAx>
        <c:axId val="9052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22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vs Subjects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DATA!$B$28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DATA!$A$29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DATA!$B$29</c:f>
              <c:numCache>
                <c:formatCode>General</c:formatCode>
                <c:ptCount val="1"/>
                <c:pt idx="0">
                  <c:v>78.45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D-4CD7-9F8D-B3A4A933E1EB}"/>
            </c:ext>
          </c:extLst>
        </c:ser>
        <c:ser>
          <c:idx val="1"/>
          <c:order val="1"/>
          <c:tx>
            <c:strRef>
              <c:f>DATA!$C$28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DATA!$A$29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DATA!$C$29</c:f>
              <c:numCache>
                <c:formatCode>General</c:formatCode>
                <c:ptCount val="1"/>
                <c:pt idx="0">
                  <c:v>80.150000000000006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D-4CD7-9F8D-B3A4A933E1EB}"/>
            </c:ext>
          </c:extLst>
        </c:ser>
        <c:ser>
          <c:idx val="2"/>
          <c:order val="2"/>
          <c:tx>
            <c:strRef>
              <c:f>DATA!$D$28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DATA!$A$29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DATA!$D$29</c:f>
              <c:numCache>
                <c:formatCode>General</c:formatCode>
                <c:ptCount val="1"/>
                <c:pt idx="0">
                  <c:v>77.75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D-4CD7-9F8D-B3A4A933E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5148176"/>
        <c:axId val="1035149616"/>
      </c:barChart>
      <c:catAx>
        <c:axId val="103514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49616"/>
        <c:crosses val="autoZero"/>
        <c:auto val="1"/>
        <c:lblAlgn val="ctr"/>
        <c:lblOffset val="100"/>
        <c:noMultiLvlLbl val="0"/>
      </c:catAx>
      <c:valAx>
        <c:axId val="103514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213359</xdr:colOff>
      <xdr:row>4</xdr:row>
      <xdr:rowOff>15240</xdr:rowOff>
    </xdr:from>
    <xdr:to>
      <xdr:col>9</xdr:col>
      <xdr:colOff>23090</xdr:colOff>
      <xdr:row>23</xdr:row>
      <xdr:rowOff>34637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42AC6-B593-4E12-903E-C2296C2FA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184726</xdr:rowOff>
    </xdr:from>
    <xdr:to>
      <xdr:col>9</xdr:col>
      <xdr:colOff>0</xdr:colOff>
      <xdr:row>53</xdr:row>
      <xdr:rowOff>80819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B3CD61-AB16-45E7-82A8-F4893D435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31236-54A9-4F6D-8CEF-06995D173BB0}" name="Table1" displayName="Table1" ref="A4:J24" totalsRowShown="0" headerRowDxfId="16" dataDxfId="17">
  <autoFilter ref="A4:J24" xr:uid="{76931236-54A9-4F6D-8CEF-06995D173B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AAEF7B7-6C84-4E5D-B9C7-D7E91CFC92A4}" name="Student Name" dataDxfId="23"/>
    <tableColumn id="2" xr3:uid="{20BBF9AD-D52B-4B6B-A757-231111253EA8}" name="Maths" dataDxfId="22"/>
    <tableColumn id="3" xr3:uid="{F89A28F0-71EF-4755-BE3A-86AEC79FA127}" name="Science" dataDxfId="21"/>
    <tableColumn id="4" xr3:uid="{F7B9CE0E-CB96-4E1B-9004-141B3781AD88}" name="English" dataDxfId="20"/>
    <tableColumn id="5" xr3:uid="{692E1645-B886-4D79-A745-9F5684F3F297}" name="Attendance" dataDxfId="19"/>
    <tableColumn id="6" xr3:uid="{CD7DBD0F-5767-434B-96F1-F9CCD351DF85}" name="Study Hours" dataDxfId="18"/>
    <tableColumn id="7" xr3:uid="{E9DA1320-2991-46B1-8DBA-8A035861981A}" name="Total" dataDxfId="15">
      <calculatedColumnFormula>Table1[[#This Row],[Maths]]+Table1[[#This Row],[Science]]+Table1[[#This Row],[English]]</calculatedColumnFormula>
    </tableColumn>
    <tableColumn id="8" xr3:uid="{79ECBECA-07B1-421E-A163-500588B4D6E6}" name="Percentage" dataDxfId="14">
      <calculatedColumnFormula>(Table1[[#This Row],[Total]]/300)*100</calculatedColumnFormula>
    </tableColumn>
    <tableColumn id="9" xr3:uid="{593CC7B5-B190-46D7-8E4A-5A3916E4DCC2}" name="GRADE" dataDxfId="13">
      <calculatedColumnFormula>IF(Table1[[#This Row],[Percentage]]&gt;=90, "A",IF(H5&gt;=75, "B", IF(Table1[[#This Row],[Percentage]]&gt;=60, "C","D")))</calculatedColumnFormula>
    </tableColumn>
    <tableColumn id="10" xr3:uid="{DA6E6A02-1F68-40D2-9C6F-859BC107BA7D}" name="PASS/FAIL" dataDxfId="12">
      <calculatedColumnFormula>IF(Table1[[#This Row],[Percentage]]&gt;=40, "PASS", 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87EBC9-31EA-41E5-BF5A-9948B8A318AE}" name="Table2" displayName="Table2" ref="A28:D31" totalsRowShown="0" headerRowDxfId="6" dataDxfId="7">
  <autoFilter ref="A28:D31" xr:uid="{AC87EBC9-31EA-41E5-BF5A-9948B8A318AE}">
    <filterColumn colId="0" hiddenButton="1"/>
    <filterColumn colId="1" hiddenButton="1"/>
    <filterColumn colId="2" hiddenButton="1"/>
    <filterColumn colId="3" hiddenButton="1"/>
  </autoFilter>
  <tableColumns count="4">
    <tableColumn id="1" xr3:uid="{C786B2F3-6BB3-4387-8B7C-D4F789CD3557}" name="PERFORMANCE/SUBJECT" dataDxfId="11"/>
    <tableColumn id="2" xr3:uid="{DAAD7B76-9338-4D72-ACE1-437515D05933}" name="Maths" dataDxfId="10"/>
    <tableColumn id="3" xr3:uid="{13D0D435-0449-4CB1-B910-F80630A1A6E2}" name="Science" dataDxfId="9"/>
    <tableColumn id="4" xr3:uid="{91F75190-18E1-4550-BC4C-3E079FD99CE5}" name="English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E3E08-EA2E-49AC-A53E-C2F7F9541533}" name="Table3" displayName="Table3" ref="G29:G49" totalsRowShown="0" dataDxfId="4">
  <autoFilter ref="G29:G49" xr:uid="{194E3E08-EA2E-49AC-A53E-C2F7F9541533}">
    <filterColumn colId="0" hiddenButton="1">
      <top10 val="5" filterVal="90.333333333333329"/>
    </filterColumn>
  </autoFilter>
  <sortState xmlns:xlrd2="http://schemas.microsoft.com/office/spreadsheetml/2017/richdata2" ref="G30:G49">
    <sortCondition descending="1" ref="G30:G49"/>
  </sortState>
  <tableColumns count="1">
    <tableColumn id="1" xr3:uid="{B6E05052-63E8-4826-B2B2-8DD1385EDEEC}" name="Percentage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1D3167-074A-4999-956B-4CC881674F5D}" name="Table4" displayName="Table4" ref="A34:B54" totalsRowShown="0" headerRowDxfId="0" dataDxfId="1">
  <autoFilter ref="A34:B54" xr:uid="{381D3167-074A-4999-956B-4CC881674F5D}">
    <filterColumn colId="0" hiddenButton="1"/>
    <filterColumn colId="1" hiddenButton="1"/>
  </autoFilter>
  <tableColumns count="2">
    <tableColumn id="1" xr3:uid="{299F6712-8157-4E25-BA02-22B53892A4A4}" name="KEY PERFORMANCES" dataDxfId="3"/>
    <tableColumn id="2" xr3:uid="{F081F071-9EAF-41E3-8ADE-9E1F595BC267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="65" workbookViewId="0">
      <selection activeCell="Q16" sqref="Q16"/>
    </sheetView>
  </sheetViews>
  <sheetFormatPr defaultRowHeight="14.4" x14ac:dyDescent="0.3"/>
  <cols>
    <col min="1" max="1" width="24" customWidth="1"/>
    <col min="3" max="3" width="9.33203125" customWidth="1"/>
    <col min="4" max="4" width="9.109375" customWidth="1"/>
    <col min="5" max="5" width="12.109375" customWidth="1"/>
    <col min="6" max="6" width="15.21875" bestFit="1" customWidth="1"/>
    <col min="7" max="7" width="12.5546875" customWidth="1"/>
    <col min="8" max="8" width="10.44140625" bestFit="1" customWidth="1"/>
    <col min="10" max="10" width="9.33203125" customWidth="1"/>
  </cols>
  <sheetData>
    <row r="1" spans="1:10" ht="21" x14ac:dyDescent="0.4">
      <c r="E1" s="9" t="s">
        <v>0</v>
      </c>
      <c r="F1" s="9"/>
      <c r="G1" s="9"/>
    </row>
    <row r="4" spans="1:10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27</v>
      </c>
      <c r="H4" s="1" t="s">
        <v>28</v>
      </c>
      <c r="I4" s="1" t="s">
        <v>29</v>
      </c>
      <c r="J4" s="1" t="s">
        <v>30</v>
      </c>
    </row>
    <row r="5" spans="1:10" x14ac:dyDescent="0.3">
      <c r="A5" s="1" t="s">
        <v>7</v>
      </c>
      <c r="B5" s="1">
        <v>78</v>
      </c>
      <c r="C5" s="1">
        <v>85</v>
      </c>
      <c r="D5" s="1">
        <v>72</v>
      </c>
      <c r="E5" s="1">
        <v>88</v>
      </c>
      <c r="F5" s="1">
        <v>2.5</v>
      </c>
      <c r="G5" s="1">
        <f>Table1[[#This Row],[Maths]]+Table1[[#This Row],[Science]]+Table1[[#This Row],[English]]</f>
        <v>235</v>
      </c>
      <c r="H5" s="2">
        <f>(Table1[[#This Row],[Total]]/300)*100</f>
        <v>78.333333333333329</v>
      </c>
      <c r="I5" s="1" t="str">
        <f>IF(Table1[[#This Row],[Percentage]]&gt;=90, "A",IF(H5&gt;=75, "B", IF(Table1[[#This Row],[Percentage]]&gt;=60, "C","D")))</f>
        <v>B</v>
      </c>
      <c r="J5" s="1" t="str">
        <f>IF(Table1[[#This Row],[Percentage]]&gt;=40, "PASS", "FAIL")</f>
        <v>PASS</v>
      </c>
    </row>
    <row r="6" spans="1:10" x14ac:dyDescent="0.3">
      <c r="A6" s="1" t="s">
        <v>8</v>
      </c>
      <c r="B6" s="1">
        <v>92</v>
      </c>
      <c r="C6" s="1">
        <v>89</v>
      </c>
      <c r="D6" s="1">
        <v>94</v>
      </c>
      <c r="E6" s="1">
        <v>95</v>
      </c>
      <c r="F6" s="1">
        <v>4</v>
      </c>
      <c r="G6" s="1">
        <f>Table1[[#This Row],[Maths]]+Table1[[#This Row],[Science]]+Table1[[#This Row],[English]]</f>
        <v>275</v>
      </c>
      <c r="H6" s="2">
        <f>(Table1[[#This Row],[Total]]/300)*100</f>
        <v>91.666666666666657</v>
      </c>
      <c r="I6" s="1" t="str">
        <f>IF(Table1[[#This Row],[Percentage]]&gt;=90, "A",IF(H6&gt;=75, "B", IF(Table1[[#This Row],[Percentage]]&gt;=60, "C","D")))</f>
        <v>A</v>
      </c>
      <c r="J6" s="1" t="str">
        <f>IF(Table1[[#This Row],[Percentage]]&gt;=40, "PASS", "FAIL")</f>
        <v>PASS</v>
      </c>
    </row>
    <row r="7" spans="1:10" x14ac:dyDescent="0.3">
      <c r="A7" s="1" t="s">
        <v>9</v>
      </c>
      <c r="B7" s="1">
        <v>65</v>
      </c>
      <c r="C7" s="1">
        <v>70</v>
      </c>
      <c r="D7" s="1">
        <v>68</v>
      </c>
      <c r="E7" s="1">
        <v>80</v>
      </c>
      <c r="F7" s="1">
        <v>1.5</v>
      </c>
      <c r="G7" s="1">
        <f>Table1[[#This Row],[Maths]]+Table1[[#This Row],[Science]]+Table1[[#This Row],[English]]</f>
        <v>203</v>
      </c>
      <c r="H7" s="2">
        <f>(Table1[[#This Row],[Total]]/300)*100</f>
        <v>67.666666666666657</v>
      </c>
      <c r="I7" s="1" t="str">
        <f>IF(Table1[[#This Row],[Percentage]]&gt;=90, "A",IF(H7&gt;=75, "B", IF(Table1[[#This Row],[Percentage]]&gt;=60, "C","D")))</f>
        <v>C</v>
      </c>
      <c r="J7" s="1" t="str">
        <f>IF(Table1[[#This Row],[Percentage]]&gt;=40, "PASS", "FAIL")</f>
        <v>PASS</v>
      </c>
    </row>
    <row r="8" spans="1:10" x14ac:dyDescent="0.3">
      <c r="A8" s="1" t="s">
        <v>10</v>
      </c>
      <c r="B8" s="1">
        <v>88</v>
      </c>
      <c r="C8" s="1">
        <v>91</v>
      </c>
      <c r="D8" s="1">
        <v>86</v>
      </c>
      <c r="E8" s="1">
        <v>93</v>
      </c>
      <c r="F8" s="1">
        <v>3.5</v>
      </c>
      <c r="G8" s="1">
        <f>Table1[[#This Row],[Maths]]+Table1[[#This Row],[Science]]+Table1[[#This Row],[English]]</f>
        <v>265</v>
      </c>
      <c r="H8" s="2">
        <f>(Table1[[#This Row],[Total]]/300)*100</f>
        <v>88.333333333333329</v>
      </c>
      <c r="I8" s="1" t="str">
        <f>IF(Table1[[#This Row],[Percentage]]&gt;=90, "A",IF(H8&gt;=75, "B", IF(Table1[[#This Row],[Percentage]]&gt;=60, "C","D")))</f>
        <v>B</v>
      </c>
      <c r="J8" s="1" t="str">
        <f>IF(Table1[[#This Row],[Percentage]]&gt;=40, "PASS", "FAIL")</f>
        <v>PASS</v>
      </c>
    </row>
    <row r="9" spans="1:10" x14ac:dyDescent="0.3">
      <c r="A9" s="1" t="s">
        <v>11</v>
      </c>
      <c r="B9" s="1">
        <v>55</v>
      </c>
      <c r="C9" s="1">
        <v>60</v>
      </c>
      <c r="D9" s="1">
        <v>58</v>
      </c>
      <c r="E9" s="1">
        <v>75</v>
      </c>
      <c r="F9" s="1">
        <v>1</v>
      </c>
      <c r="G9" s="1">
        <f>Table1[[#This Row],[Maths]]+Table1[[#This Row],[Science]]+Table1[[#This Row],[English]]</f>
        <v>173</v>
      </c>
      <c r="H9" s="2">
        <f>(Table1[[#This Row],[Total]]/300)*100</f>
        <v>57.666666666666664</v>
      </c>
      <c r="I9" s="1" t="str">
        <f>IF(Table1[[#This Row],[Percentage]]&gt;=90, "A",IF(H9&gt;=75, "B", IF(Table1[[#This Row],[Percentage]]&gt;=60, "C","D")))</f>
        <v>D</v>
      </c>
      <c r="J9" s="1" t="str">
        <f>IF(Table1[[#This Row],[Percentage]]&gt;=40, "PASS", "FAIL")</f>
        <v>PASS</v>
      </c>
    </row>
    <row r="10" spans="1:10" x14ac:dyDescent="0.3">
      <c r="A10" s="1" t="s">
        <v>12</v>
      </c>
      <c r="B10" s="1">
        <v>97</v>
      </c>
      <c r="C10" s="1">
        <v>95</v>
      </c>
      <c r="D10" s="1">
        <v>96</v>
      </c>
      <c r="E10" s="1">
        <v>98</v>
      </c>
      <c r="F10" s="1">
        <v>5</v>
      </c>
      <c r="G10" s="1">
        <f>Table1[[#This Row],[Maths]]+Table1[[#This Row],[Science]]+Table1[[#This Row],[English]]</f>
        <v>288</v>
      </c>
      <c r="H10" s="2">
        <f>(Table1[[#This Row],[Total]]/300)*100</f>
        <v>96</v>
      </c>
      <c r="I10" s="1" t="str">
        <f>IF(Table1[[#This Row],[Percentage]]&gt;=90, "A",IF(H10&gt;=75, "B", IF(Table1[[#This Row],[Percentage]]&gt;=60, "C","D")))</f>
        <v>A</v>
      </c>
      <c r="J10" s="1" t="str">
        <f>IF(Table1[[#This Row],[Percentage]]&gt;=40, "PASS", "FAIL")</f>
        <v>PASS</v>
      </c>
    </row>
    <row r="11" spans="1:10" x14ac:dyDescent="0.3">
      <c r="A11" s="1" t="s">
        <v>13</v>
      </c>
      <c r="B11" s="1">
        <v>73</v>
      </c>
      <c r="C11" s="1">
        <v>68</v>
      </c>
      <c r="D11" s="1">
        <v>70</v>
      </c>
      <c r="E11" s="1">
        <v>82</v>
      </c>
      <c r="F11" s="1">
        <v>2</v>
      </c>
      <c r="G11" s="1">
        <f>Table1[[#This Row],[Maths]]+Table1[[#This Row],[Science]]+Table1[[#This Row],[English]]</f>
        <v>211</v>
      </c>
      <c r="H11" s="2">
        <f>(Table1[[#This Row],[Total]]/300)*100</f>
        <v>70.333333333333343</v>
      </c>
      <c r="I11" s="1" t="str">
        <f>IF(Table1[[#This Row],[Percentage]]&gt;=90, "A",IF(H11&gt;=75, "B", IF(Table1[[#This Row],[Percentage]]&gt;=60, "C","D")))</f>
        <v>C</v>
      </c>
      <c r="J11" s="1" t="str">
        <f>IF(Table1[[#This Row],[Percentage]]&gt;=40, "PASS", "FAIL")</f>
        <v>PASS</v>
      </c>
    </row>
    <row r="12" spans="1:10" x14ac:dyDescent="0.3">
      <c r="A12" s="1" t="s">
        <v>14</v>
      </c>
      <c r="B12" s="1">
        <v>84</v>
      </c>
      <c r="C12" s="1">
        <v>87</v>
      </c>
      <c r="D12" s="1">
        <v>90</v>
      </c>
      <c r="E12" s="1">
        <v>91</v>
      </c>
      <c r="F12" s="1">
        <v>3</v>
      </c>
      <c r="G12" s="1">
        <f>Table1[[#This Row],[Maths]]+Table1[[#This Row],[Science]]+Table1[[#This Row],[English]]</f>
        <v>261</v>
      </c>
      <c r="H12" s="2">
        <f>(Table1[[#This Row],[Total]]/300)*100</f>
        <v>87</v>
      </c>
      <c r="I12" s="1" t="str">
        <f>IF(Table1[[#This Row],[Percentage]]&gt;=90, "A",IF(H12&gt;=75, "B", IF(Table1[[#This Row],[Percentage]]&gt;=60, "C","D")))</f>
        <v>B</v>
      </c>
      <c r="J12" s="1" t="str">
        <f>IF(Table1[[#This Row],[Percentage]]&gt;=40, "PASS", "FAIL")</f>
        <v>PASS</v>
      </c>
    </row>
    <row r="13" spans="1:10" x14ac:dyDescent="0.3">
      <c r="A13" s="1" t="s">
        <v>15</v>
      </c>
      <c r="B13" s="1">
        <v>60</v>
      </c>
      <c r="C13" s="1">
        <v>55</v>
      </c>
      <c r="D13" s="1">
        <v>62</v>
      </c>
      <c r="E13" s="1">
        <v>78</v>
      </c>
      <c r="F13" s="1">
        <v>1.2</v>
      </c>
      <c r="G13" s="1">
        <f>Table1[[#This Row],[Maths]]+Table1[[#This Row],[Science]]+Table1[[#This Row],[English]]</f>
        <v>177</v>
      </c>
      <c r="H13" s="2">
        <f>(Table1[[#This Row],[Total]]/300)*100</f>
        <v>59</v>
      </c>
      <c r="I13" s="1" t="str">
        <f>IF(Table1[[#This Row],[Percentage]]&gt;=90, "A",IF(H13&gt;=75, "B", IF(Table1[[#This Row],[Percentage]]&gt;=60, "C","D")))</f>
        <v>D</v>
      </c>
      <c r="J13" s="1" t="str">
        <f>IF(Table1[[#This Row],[Percentage]]&gt;=40, "PASS", "FAIL")</f>
        <v>PASS</v>
      </c>
    </row>
    <row r="14" spans="1:10" x14ac:dyDescent="0.3">
      <c r="A14" s="1" t="s">
        <v>16</v>
      </c>
      <c r="B14" s="1">
        <v>90</v>
      </c>
      <c r="C14" s="1">
        <v>93</v>
      </c>
      <c r="D14" s="1">
        <v>88</v>
      </c>
      <c r="E14" s="1">
        <v>96</v>
      </c>
      <c r="F14" s="1">
        <v>4.2</v>
      </c>
      <c r="G14" s="1">
        <f>Table1[[#This Row],[Maths]]+Table1[[#This Row],[Science]]+Table1[[#This Row],[English]]</f>
        <v>271</v>
      </c>
      <c r="H14" s="2">
        <f>(Table1[[#This Row],[Total]]/300)*100</f>
        <v>90.333333333333329</v>
      </c>
      <c r="I14" s="1" t="str">
        <f>IF(Table1[[#This Row],[Percentage]]&gt;=90, "A",IF(H14&gt;=75, "B", IF(Table1[[#This Row],[Percentage]]&gt;=60, "C","D")))</f>
        <v>A</v>
      </c>
      <c r="J14" s="1" t="str">
        <f>IF(Table1[[#This Row],[Percentage]]&gt;=40, "PASS", "FAIL")</f>
        <v>PASS</v>
      </c>
    </row>
    <row r="15" spans="1:10" x14ac:dyDescent="0.3">
      <c r="A15" s="1" t="s">
        <v>17</v>
      </c>
      <c r="B15" s="1">
        <v>77</v>
      </c>
      <c r="C15" s="1">
        <v>74</v>
      </c>
      <c r="D15" s="1">
        <v>79</v>
      </c>
      <c r="E15" s="1">
        <v>85</v>
      </c>
      <c r="F15" s="1">
        <v>2.2999999999999998</v>
      </c>
      <c r="G15" s="1">
        <f>Table1[[#This Row],[Maths]]+Table1[[#This Row],[Science]]+Table1[[#This Row],[English]]</f>
        <v>230</v>
      </c>
      <c r="H15" s="2">
        <f>(Table1[[#This Row],[Total]]/300)*100</f>
        <v>76.666666666666671</v>
      </c>
      <c r="I15" s="1" t="str">
        <f>IF(Table1[[#This Row],[Percentage]]&gt;=90, "A",IF(H15&gt;=75, "B", IF(Table1[[#This Row],[Percentage]]&gt;=60, "C","D")))</f>
        <v>B</v>
      </c>
      <c r="J15" s="1" t="str">
        <f>IF(Table1[[#This Row],[Percentage]]&gt;=40, "PASS", "FAIL")</f>
        <v>PASS</v>
      </c>
    </row>
    <row r="16" spans="1:10" x14ac:dyDescent="0.3">
      <c r="A16" s="1" t="s">
        <v>18</v>
      </c>
      <c r="B16" s="1">
        <v>85</v>
      </c>
      <c r="C16" s="1">
        <v>88</v>
      </c>
      <c r="D16" s="1">
        <v>84</v>
      </c>
      <c r="E16" s="1">
        <v>90</v>
      </c>
      <c r="F16" s="1">
        <v>3.2</v>
      </c>
      <c r="G16" s="1">
        <f>Table1[[#This Row],[Maths]]+Table1[[#This Row],[Science]]+Table1[[#This Row],[English]]</f>
        <v>257</v>
      </c>
      <c r="H16" s="2">
        <f>(Table1[[#This Row],[Total]]/300)*100</f>
        <v>85.666666666666671</v>
      </c>
      <c r="I16" s="1" t="str">
        <f>IF(Table1[[#This Row],[Percentage]]&gt;=90, "A",IF(H16&gt;=75, "B", IF(Table1[[#This Row],[Percentage]]&gt;=60, "C","D")))</f>
        <v>B</v>
      </c>
      <c r="J16" s="1" t="str">
        <f>IF(Table1[[#This Row],[Percentage]]&gt;=40, "PASS", "FAIL")</f>
        <v>PASS</v>
      </c>
    </row>
    <row r="17" spans="1:10" x14ac:dyDescent="0.3">
      <c r="A17" s="1" t="s">
        <v>19</v>
      </c>
      <c r="B17" s="1">
        <v>69</v>
      </c>
      <c r="C17" s="1">
        <v>72</v>
      </c>
      <c r="D17" s="1">
        <v>66</v>
      </c>
      <c r="E17" s="1">
        <v>81</v>
      </c>
      <c r="F17" s="1">
        <v>1.8</v>
      </c>
      <c r="G17" s="1">
        <f>Table1[[#This Row],[Maths]]+Table1[[#This Row],[Science]]+Table1[[#This Row],[English]]</f>
        <v>207</v>
      </c>
      <c r="H17" s="2">
        <f>(Table1[[#This Row],[Total]]/300)*100</f>
        <v>69</v>
      </c>
      <c r="I17" s="1" t="str">
        <f>IF(Table1[[#This Row],[Percentage]]&gt;=90, "A",IF(H17&gt;=75, "B", IF(Table1[[#This Row],[Percentage]]&gt;=60, "C","D")))</f>
        <v>C</v>
      </c>
      <c r="J17" s="1" t="str">
        <f>IF(Table1[[#This Row],[Percentage]]&gt;=40, "PASS", "FAIL")</f>
        <v>PASS</v>
      </c>
    </row>
    <row r="18" spans="1:10" x14ac:dyDescent="0.3">
      <c r="A18" s="1" t="s">
        <v>20</v>
      </c>
      <c r="B18" s="1">
        <v>93</v>
      </c>
      <c r="C18" s="1">
        <v>96</v>
      </c>
      <c r="D18" s="1">
        <v>92</v>
      </c>
      <c r="E18" s="1">
        <v>97</v>
      </c>
      <c r="F18" s="1">
        <v>4.5</v>
      </c>
      <c r="G18" s="1">
        <f>Table1[[#This Row],[Maths]]+Table1[[#This Row],[Science]]+Table1[[#This Row],[English]]</f>
        <v>281</v>
      </c>
      <c r="H18" s="2">
        <f>(Table1[[#This Row],[Total]]/300)*100</f>
        <v>93.666666666666671</v>
      </c>
      <c r="I18" s="1" t="str">
        <f>IF(Table1[[#This Row],[Percentage]]&gt;=90, "A",IF(H18&gt;=75, "B", IF(Table1[[#This Row],[Percentage]]&gt;=60, "C","D")))</f>
        <v>A</v>
      </c>
      <c r="J18" s="1" t="str">
        <f>IF(Table1[[#This Row],[Percentage]]&gt;=40, "PASS", "FAIL")</f>
        <v>PASS</v>
      </c>
    </row>
    <row r="19" spans="1:10" x14ac:dyDescent="0.3">
      <c r="A19" s="1" t="s">
        <v>21</v>
      </c>
      <c r="B19" s="1">
        <v>58</v>
      </c>
      <c r="C19" s="1">
        <v>62</v>
      </c>
      <c r="D19" s="1">
        <v>55</v>
      </c>
      <c r="E19" s="1">
        <v>76</v>
      </c>
      <c r="F19" s="1">
        <v>1.1000000000000001</v>
      </c>
      <c r="G19" s="1">
        <f>Table1[[#This Row],[Maths]]+Table1[[#This Row],[Science]]+Table1[[#This Row],[English]]</f>
        <v>175</v>
      </c>
      <c r="H19" s="2">
        <f>(Table1[[#This Row],[Total]]/300)*100</f>
        <v>58.333333333333336</v>
      </c>
      <c r="I19" s="1" t="str">
        <f>IF(Table1[[#This Row],[Percentage]]&gt;=90, "A",IF(H19&gt;=75, "B", IF(Table1[[#This Row],[Percentage]]&gt;=60, "C","D")))</f>
        <v>D</v>
      </c>
      <c r="J19" s="1" t="str">
        <f>IF(Table1[[#This Row],[Percentage]]&gt;=40, "PASS", "FAIL")</f>
        <v>PASS</v>
      </c>
    </row>
    <row r="20" spans="1:10" x14ac:dyDescent="0.3">
      <c r="A20" s="1" t="s">
        <v>22</v>
      </c>
      <c r="B20" s="1">
        <v>87</v>
      </c>
      <c r="C20" s="1">
        <v>89</v>
      </c>
      <c r="D20" s="1">
        <v>85</v>
      </c>
      <c r="E20" s="1">
        <v>92</v>
      </c>
      <c r="F20" s="1">
        <v>3.4</v>
      </c>
      <c r="G20" s="1">
        <f>Table1[[#This Row],[Maths]]+Table1[[#This Row],[Science]]+Table1[[#This Row],[English]]</f>
        <v>261</v>
      </c>
      <c r="H20" s="2">
        <f>(Table1[[#This Row],[Total]]/300)*100</f>
        <v>87</v>
      </c>
      <c r="I20" s="1" t="str">
        <f>IF(Table1[[#This Row],[Percentage]]&gt;=90, "A",IF(H20&gt;=75, "B", IF(Table1[[#This Row],[Percentage]]&gt;=60, "C","D")))</f>
        <v>B</v>
      </c>
      <c r="J20" s="1" t="str">
        <f>IF(Table1[[#This Row],[Percentage]]&gt;=40, "PASS", "FAIL")</f>
        <v>PASS</v>
      </c>
    </row>
    <row r="21" spans="1:10" x14ac:dyDescent="0.3">
      <c r="A21" s="1" t="s">
        <v>23</v>
      </c>
      <c r="B21" s="1">
        <v>72</v>
      </c>
      <c r="C21" s="1">
        <v>75</v>
      </c>
      <c r="D21" s="1">
        <v>70</v>
      </c>
      <c r="E21" s="1">
        <v>83</v>
      </c>
      <c r="F21" s="1">
        <v>2.1</v>
      </c>
      <c r="G21" s="1">
        <f>Table1[[#This Row],[Maths]]+Table1[[#This Row],[Science]]+Table1[[#This Row],[English]]</f>
        <v>217</v>
      </c>
      <c r="H21" s="2">
        <f>(Table1[[#This Row],[Total]]/300)*100</f>
        <v>72.333333333333343</v>
      </c>
      <c r="I21" s="1" t="str">
        <f>IF(Table1[[#This Row],[Percentage]]&gt;=90, "A",IF(H21&gt;=75, "B", IF(Table1[[#This Row],[Percentage]]&gt;=60, "C","D")))</f>
        <v>C</v>
      </c>
      <c r="J21" s="1" t="str">
        <f>IF(Table1[[#This Row],[Percentage]]&gt;=40, "PASS", "FAIL")</f>
        <v>PASS</v>
      </c>
    </row>
    <row r="22" spans="1:10" x14ac:dyDescent="0.3">
      <c r="A22" s="1" t="s">
        <v>24</v>
      </c>
      <c r="B22" s="1">
        <v>91</v>
      </c>
      <c r="C22" s="1">
        <v>94</v>
      </c>
      <c r="D22" s="1">
        <v>89</v>
      </c>
      <c r="E22" s="1">
        <v>96</v>
      </c>
      <c r="F22" s="1">
        <v>4.3</v>
      </c>
      <c r="G22" s="1">
        <f>Table1[[#This Row],[Maths]]+Table1[[#This Row],[Science]]+Table1[[#This Row],[English]]</f>
        <v>274</v>
      </c>
      <c r="H22" s="2">
        <f>(Table1[[#This Row],[Total]]/300)*100</f>
        <v>91.333333333333329</v>
      </c>
      <c r="I22" s="1" t="str">
        <f>IF(Table1[[#This Row],[Percentage]]&gt;=90, "A",IF(H22&gt;=75, "B", IF(Table1[[#This Row],[Percentage]]&gt;=60, "C","D")))</f>
        <v>A</v>
      </c>
      <c r="J22" s="1" t="str">
        <f>IF(Table1[[#This Row],[Percentage]]&gt;=40, "PASS", "FAIL")</f>
        <v>PASS</v>
      </c>
    </row>
    <row r="23" spans="1:10" x14ac:dyDescent="0.3">
      <c r="A23" s="1" t="s">
        <v>25</v>
      </c>
      <c r="B23" s="1">
        <v>66</v>
      </c>
      <c r="C23" s="1">
        <v>68</v>
      </c>
      <c r="D23" s="1">
        <v>64</v>
      </c>
      <c r="E23" s="1">
        <v>79</v>
      </c>
      <c r="F23" s="1">
        <v>1.6</v>
      </c>
      <c r="G23" s="1">
        <f>Table1[[#This Row],[Maths]]+Table1[[#This Row],[Science]]+Table1[[#This Row],[English]]</f>
        <v>198</v>
      </c>
      <c r="H23" s="2">
        <f>(Table1[[#This Row],[Total]]/300)*100</f>
        <v>66</v>
      </c>
      <c r="I23" s="1" t="str">
        <f>IF(Table1[[#This Row],[Percentage]]&gt;=90, "A",IF(H23&gt;=75, "B", IF(Table1[[#This Row],[Percentage]]&gt;=60, "C","D")))</f>
        <v>C</v>
      </c>
      <c r="J23" s="1" t="str">
        <f>IF(Table1[[#This Row],[Percentage]]&gt;=40, "PASS", "FAIL")</f>
        <v>PASS</v>
      </c>
    </row>
    <row r="24" spans="1:10" x14ac:dyDescent="0.3">
      <c r="A24" s="1" t="s">
        <v>26</v>
      </c>
      <c r="B24" s="1">
        <v>89</v>
      </c>
      <c r="C24" s="1">
        <v>92</v>
      </c>
      <c r="D24" s="1">
        <v>87</v>
      </c>
      <c r="E24" s="1">
        <v>94</v>
      </c>
      <c r="F24" s="1">
        <v>3.8</v>
      </c>
      <c r="G24" s="1">
        <f>Table1[[#This Row],[Maths]]+Table1[[#This Row],[Science]]+Table1[[#This Row],[English]]</f>
        <v>268</v>
      </c>
      <c r="H24" s="2">
        <f>(Table1[[#This Row],[Total]]/300)*100</f>
        <v>89.333333333333329</v>
      </c>
      <c r="I24" s="1" t="str">
        <f>IF(Table1[[#This Row],[Percentage]]&gt;=90, "A",IF(H24&gt;=75, "B", IF(Table1[[#This Row],[Percentage]]&gt;=60, "C","D")))</f>
        <v>B</v>
      </c>
      <c r="J24" s="1" t="str">
        <f>IF(Table1[[#This Row],[Percentage]]&gt;=40, "PASS", "FAIL")</f>
        <v>PASS</v>
      </c>
    </row>
    <row r="28" spans="1:10" ht="21" x14ac:dyDescent="0.4">
      <c r="A28" s="1" t="s">
        <v>31</v>
      </c>
      <c r="B28" s="1" t="s">
        <v>2</v>
      </c>
      <c r="C28" s="1" t="s">
        <v>3</v>
      </c>
      <c r="D28" s="1" t="s">
        <v>4</v>
      </c>
      <c r="F28" s="9" t="s">
        <v>35</v>
      </c>
    </row>
    <row r="29" spans="1:10" x14ac:dyDescent="0.3">
      <c r="A29" s="1" t="s">
        <v>32</v>
      </c>
      <c r="B29" s="1">
        <f>AVERAGE(Table1[Maths])</f>
        <v>78.45</v>
      </c>
      <c r="C29" s="1">
        <f>AVERAGE(Table1[Science])</f>
        <v>80.150000000000006</v>
      </c>
      <c r="D29" s="1">
        <f>AVERAGE(Table1[English])</f>
        <v>77.75</v>
      </c>
      <c r="F29" s="5" t="s">
        <v>1</v>
      </c>
      <c r="G29" s="1" t="s">
        <v>28</v>
      </c>
    </row>
    <row r="30" spans="1:10" x14ac:dyDescent="0.3">
      <c r="A30" s="1" t="s">
        <v>33</v>
      </c>
      <c r="B30" s="1">
        <f>MAX(Table1[Maths])</f>
        <v>97</v>
      </c>
      <c r="C30" s="1">
        <f>MAX(Table1[Science])</f>
        <v>96</v>
      </c>
      <c r="D30" s="1">
        <f>MAX(Table1[English])</f>
        <v>96</v>
      </c>
      <c r="F30" s="3" t="s">
        <v>7</v>
      </c>
      <c r="G30" s="2">
        <v>96</v>
      </c>
    </row>
    <row r="31" spans="1:10" x14ac:dyDescent="0.3">
      <c r="A31" s="1" t="s">
        <v>34</v>
      </c>
      <c r="B31" s="1">
        <f>MIN(Table1[Maths])</f>
        <v>55</v>
      </c>
      <c r="C31" s="1">
        <f>MIN(Table1[Science])</f>
        <v>55</v>
      </c>
      <c r="D31" s="1">
        <f>MIN(Table1[English])</f>
        <v>55</v>
      </c>
      <c r="F31" s="4" t="s">
        <v>8</v>
      </c>
      <c r="G31" s="2">
        <v>93.666666666666671</v>
      </c>
    </row>
    <row r="32" spans="1:10" x14ac:dyDescent="0.3">
      <c r="F32" s="3" t="s">
        <v>9</v>
      </c>
      <c r="G32" s="2">
        <v>91.666666666666657</v>
      </c>
    </row>
    <row r="33" spans="1:7" x14ac:dyDescent="0.3">
      <c r="F33" s="4" t="s">
        <v>10</v>
      </c>
      <c r="G33" s="2">
        <v>91.333333333333329</v>
      </c>
    </row>
    <row r="34" spans="1:7" x14ac:dyDescent="0.3">
      <c r="A34" s="1" t="s">
        <v>36</v>
      </c>
      <c r="B34" s="1" t="s">
        <v>42</v>
      </c>
      <c r="F34" s="3" t="s">
        <v>11</v>
      </c>
      <c r="G34" s="2">
        <v>90.333333333333329</v>
      </c>
    </row>
    <row r="35" spans="1:7" hidden="1" x14ac:dyDescent="0.3">
      <c r="A35" s="1"/>
      <c r="B35" s="1"/>
      <c r="F35" s="4" t="s">
        <v>12</v>
      </c>
      <c r="G35" s="6">
        <v>89.333333333333329</v>
      </c>
    </row>
    <row r="36" spans="1:7" hidden="1" x14ac:dyDescent="0.3">
      <c r="A36" s="1"/>
      <c r="B36" s="1"/>
      <c r="F36" s="3" t="s">
        <v>13</v>
      </c>
      <c r="G36" s="6">
        <v>88.333333333333329</v>
      </c>
    </row>
    <row r="37" spans="1:7" hidden="1" x14ac:dyDescent="0.3">
      <c r="A37" s="1"/>
      <c r="B37" s="1"/>
      <c r="F37" s="4" t="s">
        <v>14</v>
      </c>
      <c r="G37" s="6">
        <v>87</v>
      </c>
    </row>
    <row r="38" spans="1:7" hidden="1" x14ac:dyDescent="0.3">
      <c r="A38" s="1"/>
      <c r="B38" s="1"/>
      <c r="F38" s="3" t="s">
        <v>15</v>
      </c>
      <c r="G38" s="6">
        <v>87</v>
      </c>
    </row>
    <row r="39" spans="1:7" hidden="1" x14ac:dyDescent="0.3">
      <c r="A39" s="1"/>
      <c r="B39" s="1"/>
      <c r="F39" s="4" t="s">
        <v>16</v>
      </c>
      <c r="G39" s="6">
        <v>85.666666666666671</v>
      </c>
    </row>
    <row r="40" spans="1:7" hidden="1" x14ac:dyDescent="0.3">
      <c r="A40" s="1"/>
      <c r="B40" s="1"/>
      <c r="F40" s="3" t="s">
        <v>17</v>
      </c>
      <c r="G40" s="6">
        <v>78.333333333333329</v>
      </c>
    </row>
    <row r="41" spans="1:7" hidden="1" x14ac:dyDescent="0.3">
      <c r="A41" s="1"/>
      <c r="B41" s="1"/>
      <c r="F41" s="4" t="s">
        <v>18</v>
      </c>
      <c r="G41" s="6">
        <v>76.666666666666671</v>
      </c>
    </row>
    <row r="42" spans="1:7" hidden="1" x14ac:dyDescent="0.3">
      <c r="A42" s="1"/>
      <c r="B42" s="1"/>
      <c r="F42" s="3" t="s">
        <v>19</v>
      </c>
      <c r="G42" s="6">
        <v>72.333333333333343</v>
      </c>
    </row>
    <row r="43" spans="1:7" hidden="1" x14ac:dyDescent="0.3">
      <c r="A43" s="1"/>
      <c r="B43" s="1"/>
      <c r="F43" s="4" t="s">
        <v>20</v>
      </c>
      <c r="G43" s="6">
        <v>70.333333333333343</v>
      </c>
    </row>
    <row r="44" spans="1:7" hidden="1" x14ac:dyDescent="0.3">
      <c r="A44" s="1"/>
      <c r="B44" s="1"/>
      <c r="F44" s="3" t="s">
        <v>21</v>
      </c>
      <c r="G44" s="6">
        <v>69</v>
      </c>
    </row>
    <row r="45" spans="1:7" hidden="1" x14ac:dyDescent="0.3">
      <c r="A45" s="1"/>
      <c r="B45" s="1"/>
      <c r="F45" s="4" t="s">
        <v>22</v>
      </c>
      <c r="G45" s="6">
        <v>67.666666666666657</v>
      </c>
    </row>
    <row r="46" spans="1:7" hidden="1" x14ac:dyDescent="0.3">
      <c r="A46" s="1"/>
      <c r="B46" s="1"/>
      <c r="F46" s="3" t="s">
        <v>23</v>
      </c>
      <c r="G46" s="6">
        <v>66</v>
      </c>
    </row>
    <row r="47" spans="1:7" hidden="1" x14ac:dyDescent="0.3">
      <c r="A47" s="1"/>
      <c r="B47" s="1"/>
      <c r="F47" s="4" t="s">
        <v>24</v>
      </c>
      <c r="G47" s="6">
        <v>59</v>
      </c>
    </row>
    <row r="48" spans="1:7" hidden="1" x14ac:dyDescent="0.3">
      <c r="A48" s="1"/>
      <c r="B48" s="1"/>
      <c r="F48" s="3" t="s">
        <v>25</v>
      </c>
      <c r="G48" s="6">
        <v>58.333333333333336</v>
      </c>
    </row>
    <row r="49" spans="1:7" hidden="1" x14ac:dyDescent="0.3">
      <c r="A49" s="1"/>
      <c r="B49" s="1"/>
      <c r="F49" s="4" t="s">
        <v>26</v>
      </c>
      <c r="G49" s="6">
        <v>57.666666666666664</v>
      </c>
    </row>
    <row r="50" spans="1:7" x14ac:dyDescent="0.3">
      <c r="A50" s="1" t="s">
        <v>37</v>
      </c>
      <c r="B50" s="2">
        <f>COUNTA(Table1[Student Name])</f>
        <v>20</v>
      </c>
    </row>
    <row r="51" spans="1:7" x14ac:dyDescent="0.3">
      <c r="A51" s="1" t="s">
        <v>38</v>
      </c>
      <c r="B51" s="2">
        <f>AVERAGE(Table1[Percentage])</f>
        <v>78.783333333333317</v>
      </c>
    </row>
    <row r="52" spans="1:7" x14ac:dyDescent="0.3">
      <c r="A52" s="1" t="s">
        <v>39</v>
      </c>
      <c r="B52" s="2">
        <f>MAX(Table1[Percentage])</f>
        <v>96</v>
      </c>
    </row>
    <row r="53" spans="1:7" x14ac:dyDescent="0.3">
      <c r="A53" s="1" t="s">
        <v>40</v>
      </c>
      <c r="B53" s="2">
        <f>MIN(Table1[Percentage])</f>
        <v>57.666666666666664</v>
      </c>
    </row>
    <row r="54" spans="1:7" x14ac:dyDescent="0.3">
      <c r="A54" s="1" t="s">
        <v>41</v>
      </c>
      <c r="B54" s="2">
        <f>(COUNTIF(Table1[PASS/FAIL],"PASS")/COUNTA(Table1[PASS/FAIL]))*100</f>
        <v>100</v>
      </c>
    </row>
  </sheetData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E6CE-3F3C-4BEB-9F96-D3A2FD6B9275}">
  <dimension ref="D3:M29"/>
  <sheetViews>
    <sheetView zoomScale="46" workbookViewId="0">
      <selection activeCell="AJ9" sqref="AJ9"/>
    </sheetView>
  </sheetViews>
  <sheetFormatPr defaultRowHeight="14.4" x14ac:dyDescent="0.3"/>
  <cols>
    <col min="11" max="11" width="10.5546875" customWidth="1"/>
    <col min="12" max="12" width="32.88671875" bestFit="1" customWidth="1"/>
    <col min="13" max="13" width="14.88671875" customWidth="1"/>
  </cols>
  <sheetData>
    <row r="3" spans="4:13" ht="21" x14ac:dyDescent="0.4">
      <c r="D3" s="9" t="s">
        <v>45</v>
      </c>
      <c r="E3" s="9"/>
      <c r="F3" s="9"/>
      <c r="G3" s="9"/>
      <c r="L3" s="9" t="s">
        <v>43</v>
      </c>
    </row>
    <row r="5" spans="4:13" ht="18" x14ac:dyDescent="0.35">
      <c r="L5" s="7" t="str" cm="1">
        <f t="array" ref="L5:M9">DATA!A50:B54</f>
        <v>TOTAL STUDENTS</v>
      </c>
      <c r="M5" s="8">
        <v>20</v>
      </c>
    </row>
    <row r="6" spans="4:13" ht="18" x14ac:dyDescent="0.35">
      <c r="L6" s="7" t="str">
        <v>AVERAGE PERCENTAGE</v>
      </c>
      <c r="M6" s="8">
        <v>78.783333333333317</v>
      </c>
    </row>
    <row r="7" spans="4:13" ht="18" x14ac:dyDescent="0.35">
      <c r="L7" s="7" t="str">
        <v>TOP PERFORMER</v>
      </c>
      <c r="M7" s="8">
        <v>96</v>
      </c>
    </row>
    <row r="8" spans="4:13" ht="18" x14ac:dyDescent="0.35">
      <c r="L8" s="7" t="str">
        <v>LOWEST PERFORMER</v>
      </c>
      <c r="M8" s="8">
        <v>57.666666666666664</v>
      </c>
    </row>
    <row r="9" spans="4:13" ht="18" x14ac:dyDescent="0.35">
      <c r="L9" s="7" t="str">
        <v>Pass %</v>
      </c>
      <c r="M9" s="8">
        <v>100</v>
      </c>
    </row>
    <row r="29" spans="4:9" ht="21" x14ac:dyDescent="0.4">
      <c r="D29" s="9" t="s">
        <v>44</v>
      </c>
      <c r="E29" s="9"/>
      <c r="F29" s="9"/>
      <c r="G29" s="9"/>
      <c r="H29" s="9"/>
      <c r="I2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2026-06-07T14:53:34Z</dcterms:modified>
</cp:coreProperties>
</file>