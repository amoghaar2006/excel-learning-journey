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DATA MAPPING\"/>
    </mc:Choice>
  </mc:AlternateContent>
  <xr:revisionPtr revIDLastSave="0" documentId="13_ncr:1_{C0AB472E-D239-44A3-8138-E7F3BC4B6822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4" i="1"/>
  <c r="C42" i="1"/>
  <c r="D39" i="1"/>
  <c r="C39" i="1"/>
  <c r="F21" i="1"/>
  <c r="F20" i="1"/>
  <c r="D20" i="1"/>
  <c r="E17" i="1"/>
  <c r="D17" i="1"/>
</calcChain>
</file>

<file path=xl/sharedStrings.xml><?xml version="1.0" encoding="utf-8"?>
<sst xmlns="http://schemas.openxmlformats.org/spreadsheetml/2006/main" count="64" uniqueCount="28">
  <si>
    <t>ID</t>
  </si>
  <si>
    <t>NAME</t>
  </si>
  <si>
    <t>GENDER</t>
  </si>
  <si>
    <t>AGE</t>
  </si>
  <si>
    <t>CITY</t>
  </si>
  <si>
    <t>Ajay</t>
  </si>
  <si>
    <t>Sumit</t>
  </si>
  <si>
    <t>Rahul</t>
  </si>
  <si>
    <t>Priya</t>
  </si>
  <si>
    <t>Rashmi</t>
  </si>
  <si>
    <t>Raj</t>
  </si>
  <si>
    <t>Sakshi</t>
  </si>
  <si>
    <t>Male</t>
  </si>
  <si>
    <t>Female</t>
  </si>
  <si>
    <t>Bengaluru</t>
  </si>
  <si>
    <t>Chennai</t>
  </si>
  <si>
    <t>Mumbai</t>
  </si>
  <si>
    <t>Pune</t>
  </si>
  <si>
    <t>Delhi</t>
  </si>
  <si>
    <t>Goa</t>
  </si>
  <si>
    <t>V-lookup</t>
  </si>
  <si>
    <t>VLOOKUP is used for the comparing the data in the left most column with any of the subsequent column</t>
  </si>
  <si>
    <t xml:space="preserve">It is case insensitive </t>
  </si>
  <si>
    <t>In case of mulitple matches it will take First Match</t>
  </si>
  <si>
    <t>If no value is matched it returns null</t>
  </si>
  <si>
    <t>Properties</t>
  </si>
  <si>
    <t>H-Lookup</t>
  </si>
  <si>
    <t xml:space="preserve">MATCH FUNCTION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</si>
</sst>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BADB1-BE72-4B60-9C76-C3ECC2FA97B4}" name="Table1" displayName="Table1" ref="A3:E10" totalsRowShown="0" headerRowDxfId="13" dataDxfId="12">
  <autoFilter ref="A3:E10" xr:uid="{A58BADB1-BE72-4B60-9C76-C3ECC2FA97B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2D43D84-DA96-4682-8917-E50366AC673D}" name="ID" dataDxfId="11"/>
    <tableColumn id="2" xr3:uid="{C39C80B9-F353-44AD-93A8-EE361EC55480}" name="NAME" dataDxfId="10"/>
    <tableColumn id="3" xr3:uid="{434DA0E8-B5E8-4A19-A8E6-4A49A4578ACB}" name="GENDER" dataDxfId="9"/>
    <tableColumn id="4" xr3:uid="{645FACE6-4853-4A32-9776-4F06A75C0558}" name="AGE" dataDxfId="8"/>
    <tableColumn id="5" xr3:uid="{07676962-94AB-4F97-AD07-64015932C0EE}" name="CIT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91BE65-2E2C-419D-AB4F-3AA7149E14E3}" name="Table13" displayName="Table13" ref="A27:E34" totalsRowShown="0" headerRowDxfId="6" dataDxfId="5">
  <autoFilter ref="A27:E34" xr:uid="{6691BE65-2E2C-419D-AB4F-3AA7149E14E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AC75A99-306B-4715-AFCF-0B40F707624F}" name="ID" dataDxfId="4"/>
    <tableColumn id="2" xr3:uid="{95B76D01-CC26-4368-BBAF-814A3BBF5228}" name="NAME" dataDxfId="3"/>
    <tableColumn id="3" xr3:uid="{EB8851E8-4DB1-4EB9-9D04-CDE06A248AF3}" name="GENDER" dataDxfId="2"/>
    <tableColumn id="4" xr3:uid="{D2486E03-4F2D-4569-B9FF-ABBE63E97DB3}" name="AGE" dataDxfId="1"/>
    <tableColumn id="5" xr3:uid="{FAD4EA43-E701-416D-9FBE-A0E2CEBEB9E3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46"/>
  <sheetViews>
    <sheetView tabSelected="1" topLeftCell="A39" workbookViewId="0">
      <selection activeCell="F45" sqref="F45"/>
    </sheetView>
  </sheetViews>
  <sheetFormatPr defaultRowHeight="14.4" x14ac:dyDescent="0.3"/>
  <cols>
    <col min="3" max="3" width="18.6640625" customWidth="1"/>
    <col min="5" max="5" width="11.44140625" customWidth="1"/>
    <col min="6" max="6" width="17.21875" customWidth="1"/>
  </cols>
  <sheetData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6" x14ac:dyDescent="0.3">
      <c r="A4" s="1">
        <v>100</v>
      </c>
      <c r="B4" s="1" t="s">
        <v>5</v>
      </c>
      <c r="C4" s="1" t="s">
        <v>12</v>
      </c>
      <c r="D4" s="1">
        <v>23</v>
      </c>
      <c r="E4" s="1" t="s">
        <v>14</v>
      </c>
    </row>
    <row r="5" spans="1:6" x14ac:dyDescent="0.3">
      <c r="A5" s="1">
        <v>101</v>
      </c>
      <c r="B5" s="1" t="s">
        <v>6</v>
      </c>
      <c r="C5" s="1" t="s">
        <v>12</v>
      </c>
      <c r="D5" s="1">
        <v>32</v>
      </c>
      <c r="E5" s="1" t="s">
        <v>15</v>
      </c>
    </row>
    <row r="6" spans="1:6" x14ac:dyDescent="0.3">
      <c r="A6" s="1">
        <v>102</v>
      </c>
      <c r="B6" s="1" t="s">
        <v>7</v>
      </c>
      <c r="C6" s="1" t="s">
        <v>12</v>
      </c>
      <c r="D6" s="1">
        <v>34</v>
      </c>
      <c r="E6" s="1" t="s">
        <v>14</v>
      </c>
    </row>
    <row r="7" spans="1:6" x14ac:dyDescent="0.3">
      <c r="A7" s="1">
        <v>103</v>
      </c>
      <c r="B7" s="1" t="s">
        <v>8</v>
      </c>
      <c r="C7" s="1" t="s">
        <v>13</v>
      </c>
      <c r="D7" s="1">
        <v>54</v>
      </c>
      <c r="E7" s="1" t="s">
        <v>16</v>
      </c>
    </row>
    <row r="8" spans="1:6" x14ac:dyDescent="0.3">
      <c r="A8" s="1">
        <v>104</v>
      </c>
      <c r="B8" s="1" t="s">
        <v>9</v>
      </c>
      <c r="C8" s="1" t="s">
        <v>13</v>
      </c>
      <c r="D8" s="1">
        <v>23</v>
      </c>
      <c r="E8" s="1" t="s">
        <v>17</v>
      </c>
    </row>
    <row r="9" spans="1:6" x14ac:dyDescent="0.3">
      <c r="A9" s="1">
        <v>105</v>
      </c>
      <c r="B9" s="1" t="s">
        <v>10</v>
      </c>
      <c r="C9" s="1" t="s">
        <v>12</v>
      </c>
      <c r="D9" s="1">
        <v>43</v>
      </c>
      <c r="E9" s="1" t="s">
        <v>18</v>
      </c>
    </row>
    <row r="10" spans="1:6" x14ac:dyDescent="0.3">
      <c r="A10" s="1">
        <v>106</v>
      </c>
      <c r="B10" s="1" t="s">
        <v>11</v>
      </c>
      <c r="C10" s="1" t="s">
        <v>13</v>
      </c>
      <c r="D10" s="1">
        <v>12</v>
      </c>
      <c r="E10" s="1" t="s">
        <v>19</v>
      </c>
    </row>
    <row r="13" spans="1:6" x14ac:dyDescent="0.3">
      <c r="A13" t="s">
        <v>21</v>
      </c>
    </row>
    <row r="15" spans="1:6" x14ac:dyDescent="0.3">
      <c r="C15" s="1" t="s">
        <v>20</v>
      </c>
      <c r="D15" s="1">
        <v>103</v>
      </c>
      <c r="E15" s="1">
        <v>110</v>
      </c>
      <c r="F15" s="1">
        <v>155</v>
      </c>
    </row>
    <row r="16" spans="1:6" x14ac:dyDescent="0.3">
      <c r="C16" s="1"/>
      <c r="D16" s="1"/>
      <c r="E16" s="1"/>
      <c r="F16" s="1"/>
    </row>
    <row r="17" spans="1:6" x14ac:dyDescent="0.3">
      <c r="C17" s="1" t="s">
        <v>4</v>
      </c>
      <c r="D17" s="1" t="str">
        <f>VLOOKUP(D15,Table1[],5,FALSE)</f>
        <v>Mumbai</v>
      </c>
      <c r="E17" s="1" t="str">
        <f>VLOOKUP(E15,Table1[],5,TRUE)</f>
        <v>Goa</v>
      </c>
      <c r="F17" s="1"/>
    </row>
    <row r="18" spans="1:6" x14ac:dyDescent="0.3">
      <c r="C18" s="1"/>
      <c r="D18" s="1"/>
      <c r="E18" s="1"/>
      <c r="F18" s="1"/>
    </row>
    <row r="19" spans="1:6" x14ac:dyDescent="0.3">
      <c r="C19" s="1"/>
      <c r="D19" s="1"/>
      <c r="E19" s="1"/>
      <c r="F19" s="1"/>
    </row>
    <row r="20" spans="1:6" x14ac:dyDescent="0.3">
      <c r="C20" s="1" t="s">
        <v>1</v>
      </c>
      <c r="D20" s="1" t="str">
        <f>VLOOKUP(D15,Table1[],2,FALSE)</f>
        <v>Priya</v>
      </c>
      <c r="E20" s="1"/>
      <c r="F20" s="1" t="e">
        <f>VLOOKUP(F15,Table1[],2,FALSE)</f>
        <v>#N/A</v>
      </c>
    </row>
    <row r="21" spans="1:6" x14ac:dyDescent="0.3">
      <c r="C21" s="1"/>
      <c r="D21" s="1"/>
      <c r="E21" s="1"/>
      <c r="F21" s="1" t="str">
        <f>_xlfn.IFNA(VLOOKUP(F15,Table1[],2,FALSE),"Value not found")</f>
        <v>Value not found</v>
      </c>
    </row>
    <row r="22" spans="1:6" x14ac:dyDescent="0.3">
      <c r="A22" t="s">
        <v>25</v>
      </c>
    </row>
    <row r="23" spans="1:6" x14ac:dyDescent="0.3">
      <c r="A23" t="s">
        <v>22</v>
      </c>
    </row>
    <row r="24" spans="1:6" x14ac:dyDescent="0.3">
      <c r="A24" t="s">
        <v>23</v>
      </c>
    </row>
    <row r="25" spans="1:6" x14ac:dyDescent="0.3">
      <c r="A25" t="s">
        <v>24</v>
      </c>
    </row>
    <row r="27" spans="1:6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</row>
    <row r="28" spans="1:6" x14ac:dyDescent="0.3">
      <c r="A28" s="1">
        <v>100</v>
      </c>
      <c r="B28" s="1" t="s">
        <v>5</v>
      </c>
      <c r="C28" s="1" t="s">
        <v>12</v>
      </c>
      <c r="D28" s="1">
        <v>23</v>
      </c>
      <c r="E28" s="1" t="s">
        <v>14</v>
      </c>
    </row>
    <row r="29" spans="1:6" x14ac:dyDescent="0.3">
      <c r="A29" s="1">
        <v>101</v>
      </c>
      <c r="B29" s="1" t="s">
        <v>6</v>
      </c>
      <c r="C29" s="1" t="s">
        <v>12</v>
      </c>
      <c r="D29" s="1">
        <v>32</v>
      </c>
      <c r="E29" s="1" t="s">
        <v>15</v>
      </c>
    </row>
    <row r="30" spans="1:6" x14ac:dyDescent="0.3">
      <c r="A30" s="1">
        <v>102</v>
      </c>
      <c r="B30" s="1" t="s">
        <v>7</v>
      </c>
      <c r="C30" s="1" t="s">
        <v>12</v>
      </c>
      <c r="D30" s="1">
        <v>34</v>
      </c>
      <c r="E30" s="1" t="s">
        <v>14</v>
      </c>
    </row>
    <row r="31" spans="1:6" x14ac:dyDescent="0.3">
      <c r="A31" s="1">
        <v>103</v>
      </c>
      <c r="B31" s="1" t="s">
        <v>8</v>
      </c>
      <c r="C31" s="1" t="s">
        <v>13</v>
      </c>
      <c r="D31" s="1">
        <v>54</v>
      </c>
      <c r="E31" s="1" t="s">
        <v>16</v>
      </c>
    </row>
    <row r="32" spans="1:6" x14ac:dyDescent="0.3">
      <c r="A32" s="1">
        <v>104</v>
      </c>
      <c r="B32" s="1" t="s">
        <v>9</v>
      </c>
      <c r="C32" s="1" t="s">
        <v>13</v>
      </c>
      <c r="D32" s="1">
        <v>23</v>
      </c>
      <c r="E32" s="1" t="s">
        <v>17</v>
      </c>
    </row>
    <row r="33" spans="1:5" x14ac:dyDescent="0.3">
      <c r="A33" s="1">
        <v>105</v>
      </c>
      <c r="B33" s="1" t="s">
        <v>10</v>
      </c>
      <c r="C33" s="1" t="s">
        <v>12</v>
      </c>
      <c r="D33" s="1">
        <v>43</v>
      </c>
      <c r="E33" s="1" t="s">
        <v>18</v>
      </c>
    </row>
    <row r="34" spans="1:5" x14ac:dyDescent="0.3">
      <c r="A34" s="1">
        <v>106</v>
      </c>
      <c r="B34" s="1" t="s">
        <v>11</v>
      </c>
      <c r="C34" s="1" t="s">
        <v>13</v>
      </c>
      <c r="D34" s="1">
        <v>12</v>
      </c>
      <c r="E34" s="1" t="s">
        <v>19</v>
      </c>
    </row>
    <row r="38" spans="1:5" x14ac:dyDescent="0.3">
      <c r="B38" s="1" t="s">
        <v>26</v>
      </c>
      <c r="C38" s="1" t="s">
        <v>5</v>
      </c>
      <c r="D38" s="1" t="s">
        <v>14</v>
      </c>
    </row>
    <row r="39" spans="1:5" x14ac:dyDescent="0.3">
      <c r="B39" s="1"/>
      <c r="C39" s="1" t="str">
        <f>HLOOKUP(C38,Table13[],3,"FALSE")</f>
        <v>Rahul</v>
      </c>
      <c r="D39" s="1" t="str">
        <f>HLOOKUP(D38,Table13[],5,"FALSE")</f>
        <v>Pune</v>
      </c>
    </row>
    <row r="40" spans="1:5" x14ac:dyDescent="0.3">
      <c r="B40" s="1"/>
      <c r="C40" s="1"/>
      <c r="D40" s="1"/>
    </row>
    <row r="41" spans="1:5" x14ac:dyDescent="0.3">
      <c r="B41" s="1" t="s">
        <v>27</v>
      </c>
      <c r="C41" s="1"/>
      <c r="D41" s="1"/>
    </row>
    <row r="42" spans="1:5" x14ac:dyDescent="0.3">
      <c r="B42" s="1">
        <v>104</v>
      </c>
      <c r="C42" s="1">
        <f>MATCH(B42,Table13[ID])</f>
        <v>5</v>
      </c>
      <c r="D42" s="1"/>
    </row>
    <row r="43" spans="1:5" x14ac:dyDescent="0.3">
      <c r="B43" s="1"/>
      <c r="C43" s="1"/>
      <c r="D43" s="1"/>
    </row>
    <row r="44" spans="1:5" x14ac:dyDescent="0.3">
      <c r="B44" s="1">
        <v>34</v>
      </c>
      <c r="C44" s="1">
        <f>MATCH(B44,Table13[AGE])</f>
        <v>3</v>
      </c>
      <c r="D44" s="1"/>
    </row>
    <row r="45" spans="1:5" x14ac:dyDescent="0.3">
      <c r="B45" s="1"/>
      <c r="C45" s="1"/>
      <c r="D45" s="1"/>
    </row>
    <row r="46" spans="1:5" x14ac:dyDescent="0.3">
      <c r="B46" s="1">
        <v>60</v>
      </c>
      <c r="C46" s="1" t="str">
        <f>_xlfn.IFNA(MATCH(B46,Table13[AGE],),"MATCH NOT FOUND")</f>
        <v>MATCH NOT FOUND</v>
      </c>
      <c r="D46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2026-04-05T05:43:22Z</dcterms:modified>
</cp:coreProperties>
</file>